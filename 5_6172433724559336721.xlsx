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Rizki\Downloads\"/>
    </mc:Choice>
  </mc:AlternateContent>
  <xr:revisionPtr revIDLastSave="0" documentId="13_ncr:1_{45F5F40D-FE0F-44F0-98D2-02EC7D090A8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 Barang" sheetId="9" r:id="rId1"/>
    <sheet name="Barang Masuk" sheetId="5" r:id="rId2"/>
    <sheet name="Barang Keluar" sheetId="6" r:id="rId3"/>
    <sheet name="Sisa Stok Barang" sheetId="7" r:id="rId4"/>
    <sheet name="Bantu" sheetId="10" r:id="rId5"/>
    <sheet name="ATK 1 tahun " sheetId="3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0" l="1" a="1"/>
  <c r="G3" i="10" s="1"/>
  <c r="AN38" i="3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1" i="5"/>
  <c r="A512" i="5"/>
  <c r="A513" i="5"/>
  <c r="A514" i="5"/>
  <c r="A515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A571" i="5"/>
  <c r="A572" i="5"/>
  <c r="A573" i="5"/>
  <c r="A574" i="5"/>
  <c r="A575" i="5"/>
  <c r="A576" i="5"/>
  <c r="A577" i="5"/>
  <c r="A578" i="5"/>
  <c r="A579" i="5"/>
  <c r="A580" i="5"/>
  <c r="A581" i="5"/>
  <c r="A582" i="5"/>
  <c r="A583" i="5"/>
  <c r="A584" i="5"/>
  <c r="A585" i="5"/>
  <c r="A586" i="5"/>
  <c r="A587" i="5"/>
  <c r="A588" i="5"/>
  <c r="A589" i="5"/>
  <c r="A590" i="5"/>
  <c r="A591" i="5"/>
  <c r="A592" i="5"/>
  <c r="A593" i="5"/>
  <c r="A594" i="5"/>
  <c r="A595" i="5"/>
  <c r="A596" i="5"/>
  <c r="A597" i="5"/>
  <c r="A598" i="5"/>
  <c r="A599" i="5"/>
  <c r="A600" i="5"/>
  <c r="A601" i="5"/>
  <c r="A602" i="5"/>
  <c r="A603" i="5"/>
  <c r="A604" i="5"/>
  <c r="A605" i="5"/>
  <c r="A606" i="5"/>
  <c r="A607" i="5"/>
  <c r="A608" i="5"/>
  <c r="A609" i="5"/>
  <c r="A610" i="5"/>
  <c r="A611" i="5"/>
  <c r="A612" i="5"/>
  <c r="A613" i="5"/>
  <c r="A614" i="5"/>
  <c r="A615" i="5"/>
  <c r="A616" i="5"/>
  <c r="A617" i="5"/>
  <c r="A618" i="5"/>
  <c r="A619" i="5"/>
  <c r="A620" i="5"/>
  <c r="A621" i="5"/>
  <c r="A622" i="5"/>
  <c r="A623" i="5"/>
  <c r="A624" i="5"/>
  <c r="A625" i="5"/>
  <c r="A626" i="5"/>
  <c r="A627" i="5"/>
  <c r="A628" i="5"/>
  <c r="A629" i="5"/>
  <c r="A630" i="5"/>
  <c r="A631" i="5"/>
  <c r="A632" i="5"/>
  <c r="A633" i="5"/>
  <c r="A634" i="5"/>
  <c r="A635" i="5"/>
  <c r="A636" i="5"/>
  <c r="A637" i="5"/>
  <c r="A638" i="5"/>
  <c r="A639" i="5"/>
  <c r="A640" i="5"/>
  <c r="A641" i="5"/>
  <c r="A642" i="5"/>
  <c r="A643" i="5"/>
  <c r="A644" i="5"/>
  <c r="A645" i="5"/>
  <c r="A646" i="5"/>
  <c r="A647" i="5"/>
  <c r="A648" i="5"/>
  <c r="A649" i="5"/>
  <c r="A650" i="5"/>
  <c r="A651" i="5"/>
  <c r="A652" i="5"/>
  <c r="A653" i="5"/>
  <c r="A654" i="5"/>
  <c r="A655" i="5"/>
  <c r="A656" i="5"/>
  <c r="A657" i="5"/>
  <c r="A658" i="5"/>
  <c r="A659" i="5"/>
  <c r="A660" i="5"/>
  <c r="A661" i="5"/>
  <c r="A662" i="5"/>
  <c r="A663" i="5"/>
  <c r="A664" i="5"/>
  <c r="A665" i="5"/>
  <c r="A666" i="5"/>
  <c r="A667" i="5"/>
  <c r="A668" i="5"/>
  <c r="A669" i="5"/>
  <c r="A670" i="5"/>
  <c r="A671" i="5"/>
  <c r="A672" i="5"/>
  <c r="A673" i="5"/>
  <c r="A674" i="5"/>
  <c r="A675" i="5"/>
  <c r="A676" i="5"/>
  <c r="A677" i="5"/>
  <c r="A678" i="5"/>
  <c r="A679" i="5"/>
  <c r="A680" i="5"/>
  <c r="A681" i="5"/>
  <c r="A682" i="5"/>
  <c r="A683" i="5"/>
  <c r="A684" i="5"/>
  <c r="A685" i="5"/>
  <c r="A686" i="5"/>
  <c r="A687" i="5"/>
  <c r="A688" i="5"/>
  <c r="A689" i="5"/>
  <c r="A690" i="5"/>
  <c r="A691" i="5"/>
  <c r="A692" i="5"/>
  <c r="A693" i="5"/>
  <c r="A694" i="5"/>
  <c r="A695" i="5"/>
  <c r="A696" i="5"/>
  <c r="A697" i="5"/>
  <c r="A698" i="5"/>
  <c r="A699" i="5"/>
  <c r="A700" i="5"/>
  <c r="A701" i="5"/>
  <c r="A702" i="5"/>
  <c r="A703" i="5"/>
  <c r="A704" i="5"/>
  <c r="A705" i="5"/>
  <c r="A706" i="5"/>
  <c r="A707" i="5"/>
  <c r="A708" i="5"/>
  <c r="A709" i="5"/>
  <c r="A710" i="5"/>
  <c r="A711" i="5"/>
  <c r="A712" i="5"/>
  <c r="A713" i="5"/>
  <c r="A714" i="5"/>
  <c r="A715" i="5"/>
  <c r="A716" i="5"/>
  <c r="A717" i="5"/>
  <c r="A718" i="5"/>
  <c r="A719" i="5"/>
  <c r="A720" i="5"/>
  <c r="A721" i="5"/>
  <c r="A722" i="5"/>
  <c r="A723" i="5"/>
  <c r="A724" i="5"/>
  <c r="A725" i="5"/>
  <c r="A726" i="5"/>
  <c r="A727" i="5"/>
  <c r="A728" i="5"/>
  <c r="A729" i="5"/>
  <c r="A730" i="5"/>
  <c r="A731" i="5"/>
  <c r="A732" i="5"/>
  <c r="A733" i="5"/>
  <c r="A734" i="5"/>
  <c r="A735" i="5"/>
  <c r="A736" i="5"/>
  <c r="A737" i="5"/>
  <c r="A738" i="5"/>
  <c r="A739" i="5"/>
  <c r="A740" i="5"/>
  <c r="A741" i="5"/>
  <c r="A742" i="5"/>
  <c r="A743" i="5"/>
  <c r="A744" i="5"/>
  <c r="A745" i="5"/>
  <c r="A746" i="5"/>
  <c r="A747" i="5"/>
  <c r="A748" i="5"/>
  <c r="A749" i="5"/>
  <c r="A750" i="5"/>
  <c r="A751" i="5"/>
  <c r="A752" i="5"/>
  <c r="A753" i="5"/>
  <c r="A754" i="5"/>
  <c r="A755" i="5"/>
  <c r="A756" i="5"/>
  <c r="A757" i="5"/>
  <c r="A758" i="5"/>
  <c r="A759" i="5"/>
  <c r="A760" i="5"/>
  <c r="A761" i="5"/>
  <c r="A762" i="5"/>
  <c r="A763" i="5"/>
  <c r="A764" i="5"/>
  <c r="A765" i="5"/>
  <c r="A766" i="5"/>
  <c r="A767" i="5"/>
  <c r="A768" i="5"/>
  <c r="A769" i="5"/>
  <c r="A770" i="5"/>
  <c r="A771" i="5"/>
  <c r="A772" i="5"/>
  <c r="A773" i="5"/>
  <c r="A774" i="5"/>
  <c r="A775" i="5"/>
  <c r="A776" i="5"/>
  <c r="A777" i="5"/>
  <c r="A778" i="5"/>
  <c r="A779" i="5"/>
  <c r="A780" i="5"/>
  <c r="A781" i="5"/>
  <c r="A782" i="5"/>
  <c r="A783" i="5"/>
  <c r="A784" i="5"/>
  <c r="A785" i="5"/>
  <c r="A786" i="5"/>
  <c r="A787" i="5"/>
  <c r="A788" i="5"/>
  <c r="A789" i="5"/>
  <c r="A790" i="5"/>
  <c r="A791" i="5"/>
  <c r="A792" i="5"/>
  <c r="A793" i="5"/>
  <c r="A794" i="5"/>
  <c r="A795" i="5"/>
  <c r="A796" i="5"/>
  <c r="A797" i="5"/>
  <c r="A798" i="5"/>
  <c r="A799" i="5"/>
  <c r="A800" i="5"/>
  <c r="A801" i="5"/>
  <c r="A802" i="5"/>
  <c r="A803" i="5"/>
  <c r="A804" i="5"/>
  <c r="A805" i="5"/>
  <c r="A806" i="5"/>
  <c r="A807" i="5"/>
  <c r="A808" i="5"/>
  <c r="A809" i="5"/>
  <c r="A810" i="5"/>
  <c r="A811" i="5"/>
  <c r="A812" i="5"/>
  <c r="A813" i="5"/>
  <c r="A814" i="5"/>
  <c r="A815" i="5"/>
  <c r="A816" i="5"/>
  <c r="A817" i="5"/>
  <c r="A818" i="5"/>
  <c r="A819" i="5"/>
  <c r="A820" i="5"/>
  <c r="A821" i="5"/>
  <c r="A822" i="5"/>
  <c r="A823" i="5"/>
  <c r="A824" i="5"/>
  <c r="A825" i="5"/>
  <c r="A826" i="5"/>
  <c r="A827" i="5"/>
  <c r="A828" i="5"/>
  <c r="A829" i="5"/>
  <c r="A830" i="5"/>
  <c r="A831" i="5"/>
  <c r="A832" i="5"/>
  <c r="A833" i="5"/>
  <c r="A834" i="5"/>
  <c r="A835" i="5"/>
  <c r="A836" i="5"/>
  <c r="A837" i="5"/>
  <c r="A838" i="5"/>
  <c r="A839" i="5"/>
  <c r="A840" i="5"/>
  <c r="A841" i="5"/>
  <c r="A842" i="5"/>
  <c r="A843" i="5"/>
  <c r="A844" i="5"/>
  <c r="A845" i="5"/>
  <c r="A846" i="5"/>
  <c r="A847" i="5"/>
  <c r="A848" i="5"/>
  <c r="A849" i="5"/>
  <c r="A850" i="5"/>
  <c r="A851" i="5"/>
  <c r="A852" i="5"/>
  <c r="A853" i="5"/>
  <c r="A854" i="5"/>
  <c r="A855" i="5"/>
  <c r="A856" i="5"/>
  <c r="A857" i="5"/>
  <c r="A858" i="5"/>
  <c r="A859" i="5"/>
  <c r="A860" i="5"/>
  <c r="A861" i="5"/>
  <c r="A862" i="5"/>
  <c r="A863" i="5"/>
  <c r="A864" i="5"/>
  <c r="A865" i="5"/>
  <c r="A866" i="5"/>
  <c r="A867" i="5"/>
  <c r="A868" i="5"/>
  <c r="A869" i="5"/>
  <c r="A870" i="5"/>
  <c r="A871" i="5"/>
  <c r="A872" i="5"/>
  <c r="A873" i="5"/>
  <c r="A874" i="5"/>
  <c r="A875" i="5"/>
  <c r="A876" i="5"/>
  <c r="A877" i="5"/>
  <c r="A878" i="5"/>
  <c r="A879" i="5"/>
  <c r="A880" i="5"/>
  <c r="A881" i="5"/>
  <c r="A882" i="5"/>
  <c r="A883" i="5"/>
  <c r="A884" i="5"/>
  <c r="A885" i="5"/>
  <c r="A886" i="5"/>
  <c r="A887" i="5"/>
  <c r="A888" i="5"/>
  <c r="A889" i="5"/>
  <c r="A890" i="5"/>
  <c r="A891" i="5"/>
  <c r="A892" i="5"/>
  <c r="A893" i="5"/>
  <c r="A894" i="5"/>
  <c r="A895" i="5"/>
  <c r="A896" i="5"/>
  <c r="A897" i="5"/>
  <c r="A898" i="5"/>
  <c r="A899" i="5"/>
  <c r="A900" i="5"/>
  <c r="A901" i="5"/>
  <c r="A902" i="5"/>
  <c r="A903" i="5"/>
  <c r="A904" i="5"/>
  <c r="A905" i="5"/>
  <c r="A906" i="5"/>
  <c r="A907" i="5"/>
  <c r="A908" i="5"/>
  <c r="A909" i="5"/>
  <c r="A910" i="5"/>
  <c r="A911" i="5"/>
  <c r="A912" i="5"/>
  <c r="A913" i="5"/>
  <c r="A914" i="5"/>
  <c r="A915" i="5"/>
  <c r="A916" i="5"/>
  <c r="A917" i="5"/>
  <c r="A918" i="5"/>
  <c r="A919" i="5"/>
  <c r="A920" i="5"/>
  <c r="A921" i="5"/>
  <c r="A922" i="5"/>
  <c r="A923" i="5"/>
  <c r="A924" i="5"/>
  <c r="A925" i="5"/>
  <c r="A926" i="5"/>
  <c r="A927" i="5"/>
  <c r="A928" i="5"/>
  <c r="A929" i="5"/>
  <c r="A930" i="5"/>
  <c r="A931" i="5"/>
  <c r="A932" i="5"/>
  <c r="A933" i="5"/>
  <c r="A934" i="5"/>
  <c r="A935" i="5"/>
  <c r="A936" i="5"/>
  <c r="A937" i="5"/>
  <c r="A938" i="5"/>
  <c r="A939" i="5"/>
  <c r="A940" i="5"/>
  <c r="A941" i="5"/>
  <c r="A942" i="5"/>
  <c r="A943" i="5"/>
  <c r="A944" i="5"/>
  <c r="A945" i="5"/>
  <c r="A946" i="5"/>
  <c r="A947" i="5"/>
  <c r="A948" i="5"/>
  <c r="A949" i="5"/>
  <c r="A950" i="5"/>
  <c r="A951" i="5"/>
  <c r="A952" i="5"/>
  <c r="A953" i="5"/>
  <c r="A954" i="5"/>
  <c r="A955" i="5"/>
  <c r="A956" i="5"/>
  <c r="A957" i="5"/>
  <c r="A958" i="5"/>
  <c r="A959" i="5"/>
  <c r="A960" i="5"/>
  <c r="A961" i="5"/>
  <c r="A962" i="5"/>
  <c r="A963" i="5"/>
  <c r="A964" i="5"/>
  <c r="A965" i="5"/>
  <c r="A966" i="5"/>
  <c r="A967" i="5"/>
  <c r="A968" i="5"/>
  <c r="A969" i="5"/>
  <c r="A970" i="5"/>
  <c r="A971" i="5"/>
  <c r="A972" i="5"/>
  <c r="A973" i="5"/>
  <c r="A974" i="5"/>
  <c r="A975" i="5"/>
  <c r="A976" i="5"/>
  <c r="A977" i="5"/>
  <c r="A978" i="5"/>
  <c r="A979" i="5"/>
  <c r="A980" i="5"/>
  <c r="A981" i="5"/>
  <c r="A982" i="5"/>
  <c r="A983" i="5"/>
  <c r="A984" i="5"/>
  <c r="A985" i="5"/>
  <c r="A986" i="5"/>
  <c r="A987" i="5"/>
  <c r="A988" i="5"/>
  <c r="A989" i="5"/>
  <c r="A990" i="5"/>
  <c r="A991" i="5"/>
  <c r="A992" i="5"/>
  <c r="A993" i="5"/>
  <c r="A994" i="5"/>
  <c r="A995" i="5"/>
  <c r="A996" i="5"/>
  <c r="A997" i="5"/>
  <c r="A998" i="5"/>
  <c r="A999" i="5"/>
  <c r="A1000" i="5"/>
  <c r="A1001" i="5"/>
  <c r="A1002" i="5"/>
  <c r="A1003" i="5"/>
  <c r="A1004" i="5"/>
  <c r="A1005" i="5"/>
  <c r="A1006" i="5"/>
  <c r="A1007" i="5"/>
  <c r="A1008" i="5"/>
  <c r="A1009" i="5"/>
  <c r="A1010" i="5"/>
  <c r="A1011" i="5"/>
  <c r="A1012" i="5"/>
  <c r="A1013" i="5"/>
  <c r="A1014" i="5"/>
  <c r="A1015" i="5"/>
  <c r="A1016" i="5"/>
  <c r="A1017" i="5"/>
  <c r="A1018" i="5"/>
  <c r="A1019" i="5"/>
  <c r="A1020" i="5"/>
  <c r="A1021" i="5"/>
  <c r="A1022" i="5"/>
  <c r="A1023" i="5"/>
  <c r="A1024" i="5"/>
  <c r="A1025" i="5"/>
  <c r="A1026" i="5"/>
  <c r="A1027" i="5"/>
  <c r="A1028" i="5"/>
  <c r="A1029" i="5"/>
  <c r="A1030" i="5"/>
  <c r="A1031" i="5"/>
  <c r="A1032" i="5"/>
  <c r="A1033" i="5"/>
  <c r="A1034" i="5"/>
  <c r="A1035" i="5"/>
  <c r="A1036" i="5"/>
  <c r="A1037" i="5"/>
  <c r="A1038" i="5"/>
  <c r="A1039" i="5"/>
  <c r="A1040" i="5"/>
  <c r="A1041" i="5"/>
  <c r="A1042" i="5"/>
  <c r="A1043" i="5"/>
  <c r="A1044" i="5"/>
  <c r="A1045" i="5"/>
  <c r="A1046" i="5"/>
  <c r="A1047" i="5"/>
  <c r="A1048" i="5"/>
  <c r="A1049" i="5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H4" i="7"/>
  <c r="I4" i="7" s="1"/>
  <c r="F28" i="7" s="1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A176" i="7"/>
  <c r="A177" i="7"/>
  <c r="A178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7" i="7"/>
  <c r="A20" i="6"/>
  <c r="A22" i="6"/>
  <c r="A13" i="6"/>
  <c r="A23" i="6"/>
  <c r="A19" i="6"/>
  <c r="A16" i="6"/>
  <c r="A17" i="6"/>
  <c r="A14" i="6"/>
  <c r="A12" i="6"/>
  <c r="A21" i="6"/>
  <c r="A24" i="6"/>
  <c r="A25" i="6"/>
  <c r="A26" i="6"/>
  <c r="A27" i="6"/>
  <c r="A28" i="6"/>
  <c r="A29" i="6"/>
  <c r="A30" i="6"/>
  <c r="A15" i="6"/>
  <c r="A7" i="6"/>
  <c r="A8" i="6"/>
  <c r="A11" i="6"/>
  <c r="A5" i="6"/>
  <c r="A6" i="6"/>
  <c r="A9" i="6"/>
  <c r="A1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18" i="6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2" i="3"/>
  <c r="AK33" i="3"/>
  <c r="AK34" i="3"/>
  <c r="AK35" i="3"/>
  <c r="AK36" i="3"/>
  <c r="AK37" i="3"/>
  <c r="AK38" i="3"/>
  <c r="AK39" i="3"/>
  <c r="AK40" i="3"/>
  <c r="AK41" i="3"/>
  <c r="AK42" i="3"/>
  <c r="AK43" i="3"/>
  <c r="AK44" i="3"/>
  <c r="AK45" i="3"/>
  <c r="AK46" i="3"/>
  <c r="AK47" i="3"/>
  <c r="AK48" i="3"/>
  <c r="AK49" i="3"/>
  <c r="AK50" i="3"/>
  <c r="AK51" i="3"/>
  <c r="AK52" i="3"/>
  <c r="AK53" i="3"/>
  <c r="AK54" i="3"/>
  <c r="AK55" i="3"/>
  <c r="AK56" i="3"/>
  <c r="AK57" i="3"/>
  <c r="AK58" i="3"/>
  <c r="AK59" i="3"/>
  <c r="AK60" i="3"/>
  <c r="AK61" i="3"/>
  <c r="AK62" i="3"/>
  <c r="AK63" i="3"/>
  <c r="AK64" i="3"/>
  <c r="AK65" i="3"/>
  <c r="AK66" i="3"/>
  <c r="AK67" i="3"/>
  <c r="AK68" i="3"/>
  <c r="AK69" i="3"/>
  <c r="AK70" i="3"/>
  <c r="AK71" i="3"/>
  <c r="AK72" i="3"/>
  <c r="AK73" i="3"/>
  <c r="AK74" i="3"/>
  <c r="AK75" i="3"/>
  <c r="AK76" i="3"/>
  <c r="AK77" i="3"/>
  <c r="AK78" i="3"/>
  <c r="AK79" i="3"/>
  <c r="AK80" i="3"/>
  <c r="AK81" i="3"/>
  <c r="AK82" i="3"/>
  <c r="AK83" i="3"/>
  <c r="AK84" i="3"/>
  <c r="AK85" i="3"/>
  <c r="AK86" i="3"/>
  <c r="AK87" i="3"/>
  <c r="AK88" i="3"/>
  <c r="AK89" i="3"/>
  <c r="AK90" i="3"/>
  <c r="AK91" i="3"/>
  <c r="AK92" i="3"/>
  <c r="AK93" i="3"/>
  <c r="AK94" i="3"/>
  <c r="AK95" i="3"/>
  <c r="AK96" i="3"/>
  <c r="AK97" i="3"/>
  <c r="AK98" i="3"/>
  <c r="AK99" i="3"/>
  <c r="AK100" i="3"/>
  <c r="AK101" i="3"/>
  <c r="AK102" i="3"/>
  <c r="AK103" i="3"/>
  <c r="AK104" i="3"/>
  <c r="AK105" i="3"/>
  <c r="AK106" i="3"/>
  <c r="AK107" i="3"/>
  <c r="AK108" i="3"/>
  <c r="AK109" i="3"/>
  <c r="AK110" i="3"/>
  <c r="AK111" i="3"/>
  <c r="AK112" i="3"/>
  <c r="AK113" i="3"/>
  <c r="AK114" i="3"/>
  <c r="AK115" i="3"/>
  <c r="AK116" i="3"/>
  <c r="AK117" i="3"/>
  <c r="AK118" i="3"/>
  <c r="AK119" i="3"/>
  <c r="AK120" i="3"/>
  <c r="AK121" i="3"/>
  <c r="AK122" i="3"/>
  <c r="AK123" i="3"/>
  <c r="AK124" i="3"/>
  <c r="AK125" i="3"/>
  <c r="AK126" i="3"/>
  <c r="AK127" i="3"/>
  <c r="AK128" i="3"/>
  <c r="AK129" i="3"/>
  <c r="AK130" i="3"/>
  <c r="AK131" i="3"/>
  <c r="AK132" i="3"/>
  <c r="AK133" i="3"/>
  <c r="AK134" i="3"/>
  <c r="AK135" i="3"/>
  <c r="AK136" i="3"/>
  <c r="AK137" i="3"/>
  <c r="AK138" i="3"/>
  <c r="AK139" i="3"/>
  <c r="AK140" i="3"/>
  <c r="AK141" i="3"/>
  <c r="AK142" i="3"/>
  <c r="AK143" i="3"/>
  <c r="AK144" i="3"/>
  <c r="AK145" i="3"/>
  <c r="AK146" i="3"/>
  <c r="AK147" i="3"/>
  <c r="AK148" i="3"/>
  <c r="AK149" i="3"/>
  <c r="AK150" i="3"/>
  <c r="AK151" i="3"/>
  <c r="AK152" i="3"/>
  <c r="AK153" i="3"/>
  <c r="AK154" i="3"/>
  <c r="AK155" i="3"/>
  <c r="AK156" i="3"/>
  <c r="AK157" i="3"/>
  <c r="AK158" i="3"/>
  <c r="AK159" i="3"/>
  <c r="AK160" i="3"/>
  <c r="AK161" i="3"/>
  <c r="AK162" i="3"/>
  <c r="AK163" i="3"/>
  <c r="AK164" i="3"/>
  <c r="AK165" i="3"/>
  <c r="AK166" i="3"/>
  <c r="AK167" i="3"/>
  <c r="AK168" i="3"/>
  <c r="AK169" i="3"/>
  <c r="AK170" i="3"/>
  <c r="AK171" i="3"/>
  <c r="AK172" i="3"/>
  <c r="AK173" i="3"/>
  <c r="AK174" i="3"/>
  <c r="AK175" i="3"/>
  <c r="AK176" i="3"/>
  <c r="AK177" i="3"/>
  <c r="AK178" i="3"/>
  <c r="AK179" i="3"/>
  <c r="AK6" i="3"/>
  <c r="G173" i="10"/>
  <c r="G172" i="10"/>
  <c r="G171" i="10"/>
  <c r="G170" i="10"/>
  <c r="G169" i="10"/>
  <c r="G168" i="10"/>
  <c r="G167" i="10"/>
  <c r="G166" i="10"/>
  <c r="G165" i="10"/>
  <c r="G164" i="10"/>
  <c r="G163" i="10"/>
  <c r="G162" i="10"/>
  <c r="G161" i="10"/>
  <c r="G160" i="10"/>
  <c r="G159" i="10"/>
  <c r="G158" i="10"/>
  <c r="G157" i="10"/>
  <c r="G156" i="10"/>
  <c r="G155" i="10"/>
  <c r="G154" i="10"/>
  <c r="G153" i="10"/>
  <c r="G152" i="10"/>
  <c r="G151" i="10"/>
  <c r="G150" i="10"/>
  <c r="G149" i="10"/>
  <c r="G148" i="10"/>
  <c r="G147" i="10"/>
  <c r="G146" i="10"/>
  <c r="G145" i="10"/>
  <c r="G144" i="10"/>
  <c r="G143" i="10"/>
  <c r="G142" i="10"/>
  <c r="G141" i="10"/>
  <c r="G140" i="10"/>
  <c r="G139" i="10"/>
  <c r="G138" i="10"/>
  <c r="G137" i="10"/>
  <c r="G136" i="10"/>
  <c r="G135" i="10"/>
  <c r="G134" i="10"/>
  <c r="G133" i="10"/>
  <c r="G132" i="10"/>
  <c r="G131" i="10"/>
  <c r="G130" i="10"/>
  <c r="G129" i="10"/>
  <c r="G128" i="10"/>
  <c r="G127" i="10"/>
  <c r="G126" i="10"/>
  <c r="G125" i="10"/>
  <c r="G124" i="10"/>
  <c r="G123" i="10"/>
  <c r="G122" i="10"/>
  <c r="G121" i="10"/>
  <c r="G120" i="10"/>
  <c r="G119" i="10"/>
  <c r="G118" i="10"/>
  <c r="G117" i="10"/>
  <c r="G116" i="10"/>
  <c r="G115" i="10"/>
  <c r="G114" i="10"/>
  <c r="G113" i="10"/>
  <c r="G112" i="10"/>
  <c r="G111" i="10"/>
  <c r="G110" i="10"/>
  <c r="G109" i="10"/>
  <c r="G108" i="10"/>
  <c r="G107" i="10"/>
  <c r="G106" i="10"/>
  <c r="G105" i="10"/>
  <c r="G104" i="10"/>
  <c r="G103" i="10"/>
  <c r="G102" i="10"/>
  <c r="G101" i="10"/>
  <c r="G100" i="10"/>
  <c r="G99" i="10"/>
  <c r="G98" i="10"/>
  <c r="G97" i="10"/>
  <c r="G96" i="10"/>
  <c r="G95" i="10"/>
  <c r="G94" i="10"/>
  <c r="G93" i="10"/>
  <c r="G92" i="10"/>
  <c r="G91" i="10"/>
  <c r="G90" i="10"/>
  <c r="G89" i="10"/>
  <c r="G88" i="10"/>
  <c r="G87" i="10"/>
  <c r="G86" i="10"/>
  <c r="G85" i="10"/>
  <c r="G84" i="10"/>
  <c r="G83" i="10"/>
  <c r="G82" i="10"/>
  <c r="G81" i="10"/>
  <c r="G80" i="10"/>
  <c r="G79" i="10"/>
  <c r="G78" i="10"/>
  <c r="G77" i="10"/>
  <c r="G76" i="10"/>
  <c r="G75" i="10"/>
  <c r="G74" i="10"/>
  <c r="G73" i="10"/>
  <c r="G72" i="10"/>
  <c r="G71" i="10"/>
  <c r="G70" i="10"/>
  <c r="G69" i="10"/>
  <c r="G68" i="10"/>
  <c r="G67" i="10"/>
  <c r="G66" i="10"/>
  <c r="G65" i="10"/>
  <c r="G64" i="10"/>
  <c r="G63" i="10"/>
  <c r="G62" i="10"/>
  <c r="G61" i="10"/>
  <c r="G60" i="10"/>
  <c r="G59" i="10"/>
  <c r="G58" i="10"/>
  <c r="G57" i="10"/>
  <c r="G56" i="10"/>
  <c r="G55" i="10"/>
  <c r="G54" i="10"/>
  <c r="G53" i="10"/>
  <c r="G52" i="10"/>
  <c r="G51" i="10"/>
  <c r="G50" i="10"/>
  <c r="G49" i="10"/>
  <c r="G48" i="10"/>
  <c r="G47" i="10"/>
  <c r="G46" i="10"/>
  <c r="G45" i="10"/>
  <c r="G44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E7" i="7" l="1"/>
  <c r="F140" i="7"/>
  <c r="F41" i="7"/>
  <c r="F84" i="7"/>
  <c r="F83" i="7"/>
  <c r="F170" i="7"/>
  <c r="F72" i="7"/>
  <c r="E23" i="7"/>
  <c r="F10" i="7"/>
  <c r="F29" i="7"/>
  <c r="F126" i="7"/>
  <c r="F169" i="7"/>
  <c r="F125" i="7"/>
  <c r="F71" i="7"/>
  <c r="F27" i="7"/>
  <c r="F168" i="7"/>
  <c r="F114" i="7"/>
  <c r="F70" i="7"/>
  <c r="F15" i="7"/>
  <c r="F167" i="7"/>
  <c r="F113" i="7"/>
  <c r="F69" i="7"/>
  <c r="F14" i="7"/>
  <c r="F86" i="7"/>
  <c r="F42" i="7"/>
  <c r="F139" i="7"/>
  <c r="F30" i="7"/>
  <c r="F127" i="7"/>
  <c r="F111" i="7"/>
  <c r="F142" i="7"/>
  <c r="F85" i="7"/>
  <c r="F128" i="7"/>
  <c r="F156" i="7"/>
  <c r="F112" i="7"/>
  <c r="F58" i="7"/>
  <c r="F13" i="7"/>
  <c r="F155" i="7"/>
  <c r="F57" i="7"/>
  <c r="F154" i="7"/>
  <c r="F100" i="7"/>
  <c r="F56" i="7"/>
  <c r="F153" i="7"/>
  <c r="F99" i="7"/>
  <c r="F55" i="7"/>
  <c r="F98" i="7"/>
  <c r="F44" i="7"/>
  <c r="F141" i="7"/>
  <c r="F97" i="7"/>
  <c r="F43" i="7"/>
  <c r="F16" i="7"/>
  <c r="F123" i="7"/>
  <c r="F109" i="7"/>
  <c r="F81" i="7"/>
  <c r="F67" i="7"/>
  <c r="F53" i="7"/>
  <c r="F39" i="7"/>
  <c r="F25" i="7"/>
  <c r="F11" i="7"/>
  <c r="F178" i="7"/>
  <c r="F164" i="7"/>
  <c r="F150" i="7"/>
  <c r="F136" i="7"/>
  <c r="F122" i="7"/>
  <c r="F108" i="7"/>
  <c r="F94" i="7"/>
  <c r="F80" i="7"/>
  <c r="F66" i="7"/>
  <c r="F52" i="7"/>
  <c r="F38" i="7"/>
  <c r="F24" i="7"/>
  <c r="F177" i="7"/>
  <c r="F163" i="7"/>
  <c r="F149" i="7"/>
  <c r="F135" i="7"/>
  <c r="F121" i="7"/>
  <c r="F107" i="7"/>
  <c r="F93" i="7"/>
  <c r="F79" i="7"/>
  <c r="F65" i="7"/>
  <c r="F51" i="7"/>
  <c r="F37" i="7"/>
  <c r="F23" i="7"/>
  <c r="F9" i="7"/>
  <c r="F152" i="7"/>
  <c r="F166" i="7"/>
  <c r="F138" i="7"/>
  <c r="F96" i="7"/>
  <c r="F82" i="7"/>
  <c r="F40" i="7"/>
  <c r="F26" i="7"/>
  <c r="F12" i="7"/>
  <c r="F165" i="7"/>
  <c r="F95" i="7"/>
  <c r="F148" i="7"/>
  <c r="F120" i="7"/>
  <c r="F106" i="7"/>
  <c r="F64" i="7"/>
  <c r="F50" i="7"/>
  <c r="F7" i="7"/>
  <c r="F175" i="7"/>
  <c r="F147" i="7"/>
  <c r="F119" i="7"/>
  <c r="F77" i="7"/>
  <c r="F63" i="7"/>
  <c r="F21" i="7"/>
  <c r="F160" i="7"/>
  <c r="F146" i="7"/>
  <c r="F118" i="7"/>
  <c r="F104" i="7"/>
  <c r="F62" i="7"/>
  <c r="F48" i="7"/>
  <c r="F173" i="7"/>
  <c r="F159" i="7"/>
  <c r="F145" i="7"/>
  <c r="F131" i="7"/>
  <c r="F117" i="7"/>
  <c r="F103" i="7"/>
  <c r="F89" i="7"/>
  <c r="F75" i="7"/>
  <c r="F61" i="7"/>
  <c r="F47" i="7"/>
  <c r="F33" i="7"/>
  <c r="F19" i="7"/>
  <c r="F124" i="7"/>
  <c r="F54" i="7"/>
  <c r="F137" i="7"/>
  <c r="F162" i="7"/>
  <c r="F134" i="7"/>
  <c r="F78" i="7"/>
  <c r="F22" i="7"/>
  <c r="F161" i="7"/>
  <c r="F105" i="7"/>
  <c r="F49" i="7"/>
  <c r="F8" i="7"/>
  <c r="F174" i="7"/>
  <c r="F90" i="7"/>
  <c r="F34" i="7"/>
  <c r="F172" i="7"/>
  <c r="F158" i="7"/>
  <c r="F144" i="7"/>
  <c r="F130" i="7"/>
  <c r="F116" i="7"/>
  <c r="F102" i="7"/>
  <c r="F88" i="7"/>
  <c r="F74" i="7"/>
  <c r="F60" i="7"/>
  <c r="F46" i="7"/>
  <c r="F32" i="7"/>
  <c r="F18" i="7"/>
  <c r="F110" i="7"/>
  <c r="F68" i="7"/>
  <c r="F151" i="7"/>
  <c r="F176" i="7"/>
  <c r="F92" i="7"/>
  <c r="F36" i="7"/>
  <c r="F133" i="7"/>
  <c r="F91" i="7"/>
  <c r="F35" i="7"/>
  <c r="F132" i="7"/>
  <c r="F76" i="7"/>
  <c r="F20" i="7"/>
  <c r="F171" i="7"/>
  <c r="F157" i="7"/>
  <c r="F143" i="7"/>
  <c r="F129" i="7"/>
  <c r="F115" i="7"/>
  <c r="F101" i="7"/>
  <c r="F87" i="7"/>
  <c r="F73" i="7"/>
  <c r="F59" i="7"/>
  <c r="F45" i="7"/>
  <c r="F31" i="7"/>
  <c r="F17" i="7"/>
  <c r="D175" i="7"/>
  <c r="D176" i="7"/>
  <c r="D150" i="7"/>
  <c r="D148" i="7"/>
  <c r="D103" i="7"/>
  <c r="D101" i="7"/>
  <c r="D56" i="7"/>
  <c r="D54" i="7"/>
  <c r="D12" i="7"/>
  <c r="D10" i="7"/>
  <c r="D153" i="7"/>
  <c r="D111" i="7"/>
  <c r="D64" i="7"/>
  <c r="D15" i="7"/>
  <c r="E140" i="7"/>
  <c r="E87" i="7"/>
  <c r="D152" i="7"/>
  <c r="D110" i="7"/>
  <c r="D63" i="7"/>
  <c r="D13" i="7"/>
  <c r="E138" i="7"/>
  <c r="E86" i="7"/>
  <c r="D96" i="7"/>
  <c r="E123" i="7"/>
  <c r="D171" i="7"/>
  <c r="D141" i="7"/>
  <c r="D92" i="7"/>
  <c r="D50" i="7"/>
  <c r="E173" i="7"/>
  <c r="E118" i="7"/>
  <c r="E62" i="7"/>
  <c r="D142" i="7"/>
  <c r="E174" i="7"/>
  <c r="D170" i="7"/>
  <c r="D134" i="7"/>
  <c r="D91" i="7"/>
  <c r="D44" i="7"/>
  <c r="E166" i="7"/>
  <c r="E117" i="7"/>
  <c r="E58" i="7"/>
  <c r="E131" i="7"/>
  <c r="D52" i="7"/>
  <c r="D169" i="7"/>
  <c r="D131" i="7"/>
  <c r="D89" i="7"/>
  <c r="D43" i="7"/>
  <c r="E163" i="7"/>
  <c r="E116" i="7"/>
  <c r="E54" i="7"/>
  <c r="E72" i="7"/>
  <c r="E68" i="7"/>
  <c r="D168" i="7"/>
  <c r="D129" i="7"/>
  <c r="D84" i="7"/>
  <c r="D36" i="7"/>
  <c r="E160" i="7"/>
  <c r="E110" i="7"/>
  <c r="E44" i="7"/>
  <c r="D167" i="7"/>
  <c r="D128" i="7"/>
  <c r="D83" i="7"/>
  <c r="D33" i="7"/>
  <c r="E159" i="7"/>
  <c r="E109" i="7"/>
  <c r="E34" i="7"/>
  <c r="D173" i="7"/>
  <c r="D162" i="7"/>
  <c r="D124" i="7"/>
  <c r="D75" i="7"/>
  <c r="D31" i="7"/>
  <c r="E154" i="7"/>
  <c r="E101" i="7"/>
  <c r="E33" i="7"/>
  <c r="E74" i="7"/>
  <c r="E130" i="7"/>
  <c r="D161" i="7"/>
  <c r="D122" i="7"/>
  <c r="D72" i="7"/>
  <c r="D30" i="7"/>
  <c r="E152" i="7"/>
  <c r="E98" i="7"/>
  <c r="E32" i="7"/>
  <c r="D156" i="7"/>
  <c r="D114" i="7"/>
  <c r="D71" i="7"/>
  <c r="D26" i="7"/>
  <c r="E144" i="7"/>
  <c r="E96" i="7"/>
  <c r="E20" i="7"/>
  <c r="D154" i="7"/>
  <c r="D112" i="7"/>
  <c r="D70" i="7"/>
  <c r="D24" i="7"/>
  <c r="E142" i="7"/>
  <c r="E95" i="7"/>
  <c r="E19" i="7"/>
  <c r="D133" i="7"/>
  <c r="D113" i="7"/>
  <c r="D94" i="7"/>
  <c r="D73" i="7"/>
  <c r="D55" i="7"/>
  <c r="D35" i="7"/>
  <c r="D14" i="7"/>
  <c r="E165" i="7"/>
  <c r="E143" i="7"/>
  <c r="E121" i="7"/>
  <c r="E100" i="7"/>
  <c r="E73" i="7"/>
  <c r="E40" i="7"/>
  <c r="D147" i="7"/>
  <c r="D127" i="7"/>
  <c r="D108" i="7"/>
  <c r="D87" i="7"/>
  <c r="D69" i="7"/>
  <c r="D49" i="7"/>
  <c r="D29" i="7"/>
  <c r="D8" i="7"/>
  <c r="E158" i="7"/>
  <c r="E137" i="7"/>
  <c r="E115" i="7"/>
  <c r="E90" i="7"/>
  <c r="E61" i="7"/>
  <c r="E31" i="7"/>
  <c r="D166" i="7"/>
  <c r="D145" i="7"/>
  <c r="D126" i="7"/>
  <c r="D106" i="7"/>
  <c r="D86" i="7"/>
  <c r="D68" i="7"/>
  <c r="D47" i="7"/>
  <c r="D28" i="7"/>
  <c r="D7" i="7"/>
  <c r="E157" i="7"/>
  <c r="E135" i="7"/>
  <c r="E114" i="7"/>
  <c r="E89" i="7"/>
  <c r="E60" i="7"/>
  <c r="E30" i="7"/>
  <c r="D164" i="7"/>
  <c r="D143" i="7"/>
  <c r="D125" i="7"/>
  <c r="D105" i="7"/>
  <c r="D85" i="7"/>
  <c r="D66" i="7"/>
  <c r="D45" i="7"/>
  <c r="D27" i="7"/>
  <c r="E177" i="7"/>
  <c r="E156" i="7"/>
  <c r="E132" i="7"/>
  <c r="E112" i="7"/>
  <c r="E88" i="7"/>
  <c r="E59" i="7"/>
  <c r="E26" i="7"/>
  <c r="D159" i="7"/>
  <c r="D140" i="7"/>
  <c r="D120" i="7"/>
  <c r="D100" i="7"/>
  <c r="D82" i="7"/>
  <c r="D61" i="7"/>
  <c r="D42" i="7"/>
  <c r="D22" i="7"/>
  <c r="E172" i="7"/>
  <c r="E151" i="7"/>
  <c r="E129" i="7"/>
  <c r="E107" i="7"/>
  <c r="E84" i="7"/>
  <c r="E48" i="7"/>
  <c r="E18" i="7"/>
  <c r="D178" i="7"/>
  <c r="D157" i="7"/>
  <c r="D139" i="7"/>
  <c r="D119" i="7"/>
  <c r="D99" i="7"/>
  <c r="D80" i="7"/>
  <c r="D59" i="7"/>
  <c r="D41" i="7"/>
  <c r="D21" i="7"/>
  <c r="E171" i="7"/>
  <c r="E149" i="7"/>
  <c r="E128" i="7"/>
  <c r="E104" i="7"/>
  <c r="E82" i="7"/>
  <c r="E47" i="7"/>
  <c r="E17" i="7"/>
  <c r="D138" i="7"/>
  <c r="D117" i="7"/>
  <c r="D98" i="7"/>
  <c r="D78" i="7"/>
  <c r="D58" i="7"/>
  <c r="D40" i="7"/>
  <c r="D19" i="7"/>
  <c r="E170" i="7"/>
  <c r="E146" i="7"/>
  <c r="E126" i="7"/>
  <c r="E103" i="7"/>
  <c r="E76" i="7"/>
  <c r="E46" i="7"/>
  <c r="E16" i="7"/>
  <c r="D155" i="7"/>
  <c r="D136" i="7"/>
  <c r="D115" i="7"/>
  <c r="D97" i="7"/>
  <c r="D77" i="7"/>
  <c r="D57" i="7"/>
  <c r="D38" i="7"/>
  <c r="D16" i="7"/>
  <c r="E168" i="7"/>
  <c r="E145" i="7"/>
  <c r="E124" i="7"/>
  <c r="E102" i="7"/>
  <c r="E75" i="7"/>
  <c r="E45" i="7"/>
  <c r="E12" i="7"/>
  <c r="D165" i="7"/>
  <c r="D151" i="7"/>
  <c r="D137" i="7"/>
  <c r="D123" i="7"/>
  <c r="D109" i="7"/>
  <c r="D95" i="7"/>
  <c r="D81" i="7"/>
  <c r="D67" i="7"/>
  <c r="D53" i="7"/>
  <c r="D39" i="7"/>
  <c r="D25" i="7"/>
  <c r="D11" i="7"/>
  <c r="E169" i="7"/>
  <c r="E155" i="7"/>
  <c r="E141" i="7"/>
  <c r="E127" i="7"/>
  <c r="E113" i="7"/>
  <c r="E99" i="7"/>
  <c r="E85" i="7"/>
  <c r="E71" i="7"/>
  <c r="E57" i="7"/>
  <c r="E43" i="7"/>
  <c r="E29" i="7"/>
  <c r="E15" i="7"/>
  <c r="E70" i="7"/>
  <c r="E56" i="7"/>
  <c r="E42" i="7"/>
  <c r="E28" i="7"/>
  <c r="E14" i="7"/>
  <c r="D177" i="7"/>
  <c r="D163" i="7"/>
  <c r="D149" i="7"/>
  <c r="D135" i="7"/>
  <c r="D121" i="7"/>
  <c r="D107" i="7"/>
  <c r="D93" i="7"/>
  <c r="D79" i="7"/>
  <c r="D65" i="7"/>
  <c r="D51" i="7"/>
  <c r="D37" i="7"/>
  <c r="D23" i="7"/>
  <c r="D9" i="7"/>
  <c r="E167" i="7"/>
  <c r="E153" i="7"/>
  <c r="E139" i="7"/>
  <c r="E125" i="7"/>
  <c r="E111" i="7"/>
  <c r="E97" i="7"/>
  <c r="E83" i="7"/>
  <c r="E69" i="7"/>
  <c r="E55" i="7"/>
  <c r="E41" i="7"/>
  <c r="E27" i="7"/>
  <c r="E13" i="7"/>
  <c r="E81" i="7"/>
  <c r="E67" i="7"/>
  <c r="E53" i="7"/>
  <c r="E39" i="7"/>
  <c r="E25" i="7"/>
  <c r="E11" i="7"/>
  <c r="D174" i="7"/>
  <c r="D160" i="7"/>
  <c r="D146" i="7"/>
  <c r="D132" i="7"/>
  <c r="D118" i="7"/>
  <c r="D104" i="7"/>
  <c r="D90" i="7"/>
  <c r="D76" i="7"/>
  <c r="D62" i="7"/>
  <c r="D48" i="7"/>
  <c r="D34" i="7"/>
  <c r="D20" i="7"/>
  <c r="E178" i="7"/>
  <c r="E164" i="7"/>
  <c r="E150" i="7"/>
  <c r="E136" i="7"/>
  <c r="E122" i="7"/>
  <c r="E108" i="7"/>
  <c r="E94" i="7"/>
  <c r="E80" i="7"/>
  <c r="E66" i="7"/>
  <c r="E52" i="7"/>
  <c r="E38" i="7"/>
  <c r="E24" i="7"/>
  <c r="E10" i="7"/>
  <c r="E9" i="7"/>
  <c r="E93" i="7"/>
  <c r="E79" i="7"/>
  <c r="E65" i="7"/>
  <c r="E51" i="7"/>
  <c r="E37" i="7"/>
  <c r="D172" i="7"/>
  <c r="D158" i="7"/>
  <c r="D144" i="7"/>
  <c r="D130" i="7"/>
  <c r="D116" i="7"/>
  <c r="D102" i="7"/>
  <c r="D88" i="7"/>
  <c r="D74" i="7"/>
  <c r="D60" i="7"/>
  <c r="D46" i="7"/>
  <c r="D32" i="7"/>
  <c r="D18" i="7"/>
  <c r="E176" i="7"/>
  <c r="E162" i="7"/>
  <c r="E148" i="7"/>
  <c r="E134" i="7"/>
  <c r="E120" i="7"/>
  <c r="E106" i="7"/>
  <c r="E92" i="7"/>
  <c r="E78" i="7"/>
  <c r="E64" i="7"/>
  <c r="E50" i="7"/>
  <c r="E36" i="7"/>
  <c r="E22" i="7"/>
  <c r="E8" i="7"/>
  <c r="D17" i="7"/>
  <c r="E175" i="7"/>
  <c r="E161" i="7"/>
  <c r="E147" i="7"/>
  <c r="E133" i="7"/>
  <c r="E119" i="7"/>
  <c r="E105" i="7"/>
  <c r="E91" i="7"/>
  <c r="E77" i="7"/>
  <c r="E63" i="7"/>
  <c r="E49" i="7"/>
  <c r="E35" i="7"/>
  <c r="E21" i="7"/>
  <c r="V40" i="3"/>
  <c r="AB62" i="3"/>
  <c r="AB170" i="3"/>
  <c r="AB171" i="3"/>
  <c r="AB172" i="3"/>
  <c r="AB173" i="3"/>
  <c r="AB174" i="3"/>
  <c r="AB175" i="3"/>
  <c r="AB176" i="3"/>
  <c r="AB177" i="3"/>
  <c r="AB178" i="3"/>
  <c r="AE7" i="3"/>
  <c r="AH7" i="3" s="1"/>
  <c r="AE8" i="3"/>
  <c r="AH8" i="3" s="1"/>
  <c r="AE9" i="3"/>
  <c r="AH9" i="3" s="1"/>
  <c r="AE10" i="3"/>
  <c r="AH10" i="3" s="1"/>
  <c r="AE11" i="3"/>
  <c r="AH11" i="3" s="1"/>
  <c r="AE12" i="3"/>
  <c r="AH12" i="3" s="1"/>
  <c r="AE13" i="3"/>
  <c r="AH13" i="3" s="1"/>
  <c r="AE14" i="3"/>
  <c r="AH14" i="3" s="1"/>
  <c r="AE15" i="3"/>
  <c r="AH15" i="3" s="1"/>
  <c r="AE16" i="3"/>
  <c r="AH16" i="3" s="1"/>
  <c r="AE17" i="3"/>
  <c r="AH17" i="3" s="1"/>
  <c r="AE18" i="3"/>
  <c r="AH18" i="3" s="1"/>
  <c r="AE19" i="3"/>
  <c r="AH19" i="3" s="1"/>
  <c r="AE20" i="3"/>
  <c r="AH20" i="3" s="1"/>
  <c r="AE21" i="3"/>
  <c r="AH21" i="3" s="1"/>
  <c r="AE22" i="3"/>
  <c r="AH22" i="3" s="1"/>
  <c r="AE23" i="3"/>
  <c r="AH23" i="3" s="1"/>
  <c r="AE24" i="3"/>
  <c r="AH24" i="3" s="1"/>
  <c r="AE25" i="3"/>
  <c r="AH25" i="3" s="1"/>
  <c r="AE26" i="3"/>
  <c r="AH26" i="3" s="1"/>
  <c r="AE27" i="3"/>
  <c r="AH27" i="3" s="1"/>
  <c r="AE28" i="3"/>
  <c r="AH28" i="3" s="1"/>
  <c r="AE29" i="3"/>
  <c r="AH29" i="3" s="1"/>
  <c r="AE30" i="3"/>
  <c r="AH30" i="3" s="1"/>
  <c r="AE31" i="3"/>
  <c r="AH31" i="3" s="1"/>
  <c r="AE32" i="3"/>
  <c r="AH32" i="3" s="1"/>
  <c r="AE33" i="3"/>
  <c r="AH33" i="3" s="1"/>
  <c r="AE34" i="3"/>
  <c r="AH34" i="3" s="1"/>
  <c r="AE35" i="3"/>
  <c r="AH35" i="3" s="1"/>
  <c r="AE36" i="3"/>
  <c r="AH36" i="3" s="1"/>
  <c r="AE37" i="3"/>
  <c r="AH37" i="3" s="1"/>
  <c r="AE38" i="3"/>
  <c r="AH38" i="3" s="1"/>
  <c r="AE39" i="3"/>
  <c r="AH39" i="3" s="1"/>
  <c r="AE40" i="3"/>
  <c r="AH40" i="3" s="1"/>
  <c r="AE41" i="3"/>
  <c r="AH41" i="3" s="1"/>
  <c r="AE42" i="3"/>
  <c r="AH42" i="3" s="1"/>
  <c r="AE43" i="3"/>
  <c r="AH43" i="3" s="1"/>
  <c r="AE44" i="3"/>
  <c r="AH44" i="3" s="1"/>
  <c r="AE45" i="3"/>
  <c r="AH45" i="3" s="1"/>
  <c r="AE46" i="3"/>
  <c r="AH46" i="3" s="1"/>
  <c r="AE47" i="3"/>
  <c r="AH47" i="3" s="1"/>
  <c r="AE48" i="3"/>
  <c r="AH48" i="3" s="1"/>
  <c r="AE49" i="3"/>
  <c r="AH49" i="3" s="1"/>
  <c r="AE50" i="3"/>
  <c r="AH50" i="3" s="1"/>
  <c r="AE51" i="3"/>
  <c r="AH51" i="3" s="1"/>
  <c r="AE52" i="3"/>
  <c r="AH52" i="3" s="1"/>
  <c r="AE53" i="3"/>
  <c r="AH53" i="3" s="1"/>
  <c r="AE54" i="3"/>
  <c r="AH54" i="3" s="1"/>
  <c r="AE55" i="3"/>
  <c r="AH55" i="3" s="1"/>
  <c r="AE56" i="3"/>
  <c r="AH56" i="3" s="1"/>
  <c r="AE57" i="3"/>
  <c r="AH57" i="3" s="1"/>
  <c r="AH58" i="3"/>
  <c r="AE59" i="3"/>
  <c r="AH59" i="3" s="1"/>
  <c r="AE60" i="3"/>
  <c r="AH60" i="3" s="1"/>
  <c r="AE61" i="3"/>
  <c r="AH61" i="3" s="1"/>
  <c r="AE62" i="3"/>
  <c r="AH62" i="3" s="1"/>
  <c r="AE63" i="3"/>
  <c r="AH63" i="3" s="1"/>
  <c r="AE64" i="3"/>
  <c r="AH64" i="3" s="1"/>
  <c r="AE65" i="3"/>
  <c r="AH65" i="3" s="1"/>
  <c r="AE66" i="3"/>
  <c r="AH66" i="3" s="1"/>
  <c r="AE67" i="3"/>
  <c r="AH67" i="3" s="1"/>
  <c r="AE68" i="3"/>
  <c r="AH68" i="3" s="1"/>
  <c r="AE69" i="3"/>
  <c r="AH69" i="3" s="1"/>
  <c r="AE70" i="3"/>
  <c r="AH70" i="3" s="1"/>
  <c r="AE71" i="3"/>
  <c r="AH71" i="3" s="1"/>
  <c r="AE72" i="3"/>
  <c r="AH72" i="3" s="1"/>
  <c r="AE73" i="3"/>
  <c r="AH73" i="3" s="1"/>
  <c r="AE74" i="3"/>
  <c r="AH74" i="3" s="1"/>
  <c r="AE75" i="3"/>
  <c r="AH75" i="3" s="1"/>
  <c r="AE76" i="3"/>
  <c r="AH76" i="3" s="1"/>
  <c r="AE77" i="3"/>
  <c r="AH77" i="3" s="1"/>
  <c r="AE78" i="3"/>
  <c r="AH78" i="3" s="1"/>
  <c r="AE79" i="3"/>
  <c r="AH79" i="3" s="1"/>
  <c r="AE80" i="3"/>
  <c r="AH80" i="3" s="1"/>
  <c r="AE81" i="3"/>
  <c r="AH81" i="3" s="1"/>
  <c r="AE82" i="3"/>
  <c r="AH82" i="3" s="1"/>
  <c r="AE83" i="3"/>
  <c r="AH83" i="3" s="1"/>
  <c r="AE84" i="3"/>
  <c r="AH84" i="3" s="1"/>
  <c r="AE85" i="3"/>
  <c r="AH85" i="3" s="1"/>
  <c r="AE86" i="3"/>
  <c r="AH86" i="3" s="1"/>
  <c r="AE87" i="3"/>
  <c r="AE88" i="3"/>
  <c r="AH88" i="3" s="1"/>
  <c r="AE89" i="3"/>
  <c r="AH89" i="3" s="1"/>
  <c r="AE90" i="3"/>
  <c r="AH90" i="3" s="1"/>
  <c r="AE91" i="3"/>
  <c r="AH91" i="3" s="1"/>
  <c r="AE92" i="3"/>
  <c r="AH92" i="3" s="1"/>
  <c r="AE93" i="3"/>
  <c r="AH93" i="3" s="1"/>
  <c r="AE94" i="3"/>
  <c r="AH94" i="3" s="1"/>
  <c r="AE95" i="3"/>
  <c r="AH95" i="3" s="1"/>
  <c r="AE96" i="3"/>
  <c r="AH96" i="3" s="1"/>
  <c r="AE97" i="3"/>
  <c r="AH97" i="3" s="1"/>
  <c r="AE98" i="3"/>
  <c r="AH98" i="3" s="1"/>
  <c r="AE99" i="3"/>
  <c r="AH99" i="3" s="1"/>
  <c r="AE100" i="3"/>
  <c r="AH100" i="3" s="1"/>
  <c r="AE101" i="3"/>
  <c r="AH101" i="3" s="1"/>
  <c r="AE102" i="3"/>
  <c r="AH102" i="3" s="1"/>
  <c r="AE103" i="3"/>
  <c r="AH103" i="3" s="1"/>
  <c r="AE104" i="3"/>
  <c r="AH104" i="3" s="1"/>
  <c r="AE105" i="3"/>
  <c r="AH105" i="3" s="1"/>
  <c r="AE106" i="3"/>
  <c r="AH106" i="3" s="1"/>
  <c r="AE107" i="3"/>
  <c r="AH107" i="3" s="1"/>
  <c r="AE108" i="3"/>
  <c r="AH108" i="3" s="1"/>
  <c r="AE109" i="3"/>
  <c r="AH109" i="3" s="1"/>
  <c r="AE110" i="3"/>
  <c r="AH110" i="3" s="1"/>
  <c r="AE111" i="3"/>
  <c r="AH111" i="3" s="1"/>
  <c r="AE112" i="3"/>
  <c r="AH112" i="3" s="1"/>
  <c r="AE113" i="3"/>
  <c r="AH113" i="3" s="1"/>
  <c r="AE114" i="3"/>
  <c r="AH114" i="3" s="1"/>
  <c r="AE115" i="3"/>
  <c r="AH115" i="3" s="1"/>
  <c r="AE116" i="3"/>
  <c r="AH116" i="3" s="1"/>
  <c r="AE117" i="3"/>
  <c r="AH117" i="3" s="1"/>
  <c r="AE118" i="3"/>
  <c r="AH118" i="3" s="1"/>
  <c r="AE119" i="3"/>
  <c r="AH119" i="3" s="1"/>
  <c r="AE120" i="3"/>
  <c r="AH120" i="3" s="1"/>
  <c r="AE121" i="3"/>
  <c r="AH121" i="3" s="1"/>
  <c r="AE122" i="3"/>
  <c r="AH122" i="3" s="1"/>
  <c r="AE123" i="3"/>
  <c r="AH123" i="3" s="1"/>
  <c r="AE124" i="3"/>
  <c r="AH124" i="3" s="1"/>
  <c r="AE125" i="3"/>
  <c r="AH125" i="3" s="1"/>
  <c r="AE126" i="3"/>
  <c r="AH126" i="3" s="1"/>
  <c r="AE127" i="3"/>
  <c r="AH127" i="3" s="1"/>
  <c r="AE128" i="3"/>
  <c r="AH128" i="3" s="1"/>
  <c r="AE129" i="3"/>
  <c r="AH129" i="3" s="1"/>
  <c r="AE130" i="3"/>
  <c r="AH130" i="3" s="1"/>
  <c r="AE131" i="3"/>
  <c r="AH131" i="3" s="1"/>
  <c r="AE132" i="3"/>
  <c r="AH132" i="3" s="1"/>
  <c r="AE133" i="3"/>
  <c r="AH133" i="3" s="1"/>
  <c r="AE134" i="3"/>
  <c r="AH134" i="3" s="1"/>
  <c r="AE135" i="3"/>
  <c r="AH135" i="3" s="1"/>
  <c r="AE136" i="3"/>
  <c r="AH136" i="3" s="1"/>
  <c r="AE137" i="3"/>
  <c r="AH137" i="3" s="1"/>
  <c r="AE138" i="3"/>
  <c r="AH138" i="3" s="1"/>
  <c r="AE139" i="3"/>
  <c r="AH139" i="3" s="1"/>
  <c r="AE140" i="3"/>
  <c r="AH140" i="3" s="1"/>
  <c r="AE141" i="3"/>
  <c r="AH141" i="3" s="1"/>
  <c r="AE142" i="3"/>
  <c r="AH142" i="3" s="1"/>
  <c r="AE143" i="3"/>
  <c r="AH143" i="3" s="1"/>
  <c r="AE144" i="3"/>
  <c r="AH144" i="3" s="1"/>
  <c r="AE145" i="3"/>
  <c r="AH145" i="3" s="1"/>
  <c r="AE146" i="3"/>
  <c r="AH146" i="3" s="1"/>
  <c r="AE147" i="3"/>
  <c r="AH147" i="3" s="1"/>
  <c r="AE148" i="3"/>
  <c r="AH148" i="3" s="1"/>
  <c r="AE149" i="3"/>
  <c r="AH149" i="3" s="1"/>
  <c r="AE150" i="3"/>
  <c r="AH150" i="3" s="1"/>
  <c r="AE151" i="3"/>
  <c r="AH151" i="3" s="1"/>
  <c r="AE152" i="3"/>
  <c r="AH152" i="3" s="1"/>
  <c r="AE153" i="3"/>
  <c r="AH153" i="3" s="1"/>
  <c r="AE154" i="3"/>
  <c r="AH154" i="3" s="1"/>
  <c r="AE155" i="3"/>
  <c r="AH155" i="3" s="1"/>
  <c r="AE156" i="3"/>
  <c r="AH156" i="3" s="1"/>
  <c r="AE157" i="3"/>
  <c r="AH157" i="3" s="1"/>
  <c r="AE158" i="3"/>
  <c r="AH158" i="3" s="1"/>
  <c r="AE159" i="3"/>
  <c r="AH159" i="3" s="1"/>
  <c r="AE160" i="3"/>
  <c r="AH160" i="3" s="1"/>
  <c r="AE161" i="3"/>
  <c r="AH161" i="3" s="1"/>
  <c r="AE162" i="3"/>
  <c r="AH162" i="3" s="1"/>
  <c r="AE163" i="3"/>
  <c r="AH163" i="3" s="1"/>
  <c r="AE164" i="3"/>
  <c r="AH164" i="3" s="1"/>
  <c r="AE165" i="3"/>
  <c r="AH165" i="3" s="1"/>
  <c r="AE166" i="3"/>
  <c r="AH166" i="3" s="1"/>
  <c r="AE167" i="3"/>
  <c r="AH167" i="3" s="1"/>
  <c r="AE168" i="3"/>
  <c r="AH168" i="3" s="1"/>
  <c r="AE169" i="3"/>
  <c r="AH169" i="3" s="1"/>
  <c r="AE170" i="3"/>
  <c r="AH170" i="3" s="1"/>
  <c r="AE171" i="3"/>
  <c r="AH171" i="3" s="1"/>
  <c r="AE172" i="3"/>
  <c r="AH172" i="3" s="1"/>
  <c r="AE173" i="3"/>
  <c r="AH173" i="3" s="1"/>
  <c r="AE174" i="3"/>
  <c r="AH174" i="3" s="1"/>
  <c r="AE175" i="3"/>
  <c r="AH175" i="3" s="1"/>
  <c r="AE176" i="3"/>
  <c r="AH176" i="3" s="1"/>
  <c r="AE177" i="3"/>
  <c r="AH177" i="3" s="1"/>
  <c r="AE178" i="3"/>
  <c r="AH178" i="3" s="1"/>
  <c r="AE6" i="3"/>
  <c r="AH6" i="3" s="1"/>
  <c r="Y7" i="3"/>
  <c r="AB7" i="3" s="1"/>
  <c r="Y8" i="3"/>
  <c r="AB8" i="3" s="1"/>
  <c r="Y9" i="3"/>
  <c r="AB9" i="3" s="1"/>
  <c r="Y10" i="3"/>
  <c r="AB10" i="3" s="1"/>
  <c r="Y11" i="3"/>
  <c r="AB11" i="3" s="1"/>
  <c r="Y12" i="3"/>
  <c r="AB12" i="3" s="1"/>
  <c r="Y13" i="3"/>
  <c r="AB13" i="3" s="1"/>
  <c r="Y14" i="3"/>
  <c r="AB14" i="3" s="1"/>
  <c r="Y15" i="3"/>
  <c r="AB15" i="3" s="1"/>
  <c r="Y16" i="3"/>
  <c r="AB16" i="3" s="1"/>
  <c r="Y17" i="3"/>
  <c r="AB17" i="3" s="1"/>
  <c r="Y18" i="3"/>
  <c r="AB18" i="3" s="1"/>
  <c r="Y19" i="3"/>
  <c r="AB19" i="3" s="1"/>
  <c r="Y20" i="3"/>
  <c r="AB20" i="3" s="1"/>
  <c r="Y21" i="3"/>
  <c r="AB21" i="3" s="1"/>
  <c r="Y22" i="3"/>
  <c r="AB22" i="3" s="1"/>
  <c r="Y23" i="3"/>
  <c r="AB23" i="3" s="1"/>
  <c r="Y24" i="3"/>
  <c r="AB24" i="3" s="1"/>
  <c r="Y25" i="3"/>
  <c r="AB25" i="3" s="1"/>
  <c r="Y26" i="3"/>
  <c r="AB26" i="3" s="1"/>
  <c r="Y27" i="3"/>
  <c r="AB27" i="3" s="1"/>
  <c r="Y28" i="3"/>
  <c r="AB28" i="3" s="1"/>
  <c r="Y29" i="3"/>
  <c r="AB29" i="3" s="1"/>
  <c r="Y30" i="3"/>
  <c r="AB30" i="3" s="1"/>
  <c r="Y31" i="3"/>
  <c r="AB31" i="3" s="1"/>
  <c r="Y32" i="3"/>
  <c r="AB32" i="3" s="1"/>
  <c r="Y33" i="3"/>
  <c r="AB33" i="3" s="1"/>
  <c r="Y34" i="3"/>
  <c r="AB34" i="3" s="1"/>
  <c r="Y35" i="3"/>
  <c r="AB35" i="3" s="1"/>
  <c r="Y36" i="3"/>
  <c r="AB36" i="3" s="1"/>
  <c r="Y37" i="3"/>
  <c r="AB37" i="3" s="1"/>
  <c r="Y38" i="3"/>
  <c r="AB38" i="3" s="1"/>
  <c r="Y39" i="3"/>
  <c r="AB39" i="3" s="1"/>
  <c r="Y40" i="3"/>
  <c r="AB40" i="3" s="1"/>
  <c r="Y41" i="3"/>
  <c r="AB41" i="3" s="1"/>
  <c r="Y42" i="3"/>
  <c r="AB42" i="3" s="1"/>
  <c r="Y43" i="3"/>
  <c r="AB43" i="3" s="1"/>
  <c r="Y44" i="3"/>
  <c r="AB44" i="3" s="1"/>
  <c r="Y45" i="3"/>
  <c r="AB45" i="3" s="1"/>
  <c r="Y46" i="3"/>
  <c r="AB46" i="3" s="1"/>
  <c r="Y47" i="3"/>
  <c r="AB47" i="3" s="1"/>
  <c r="Y48" i="3"/>
  <c r="AB48" i="3" s="1"/>
  <c r="Y49" i="3"/>
  <c r="AB49" i="3" s="1"/>
  <c r="Y50" i="3"/>
  <c r="AB50" i="3" s="1"/>
  <c r="Y51" i="3"/>
  <c r="AB51" i="3" s="1"/>
  <c r="Y52" i="3"/>
  <c r="AB52" i="3" s="1"/>
  <c r="Y53" i="3"/>
  <c r="AB53" i="3" s="1"/>
  <c r="Y54" i="3"/>
  <c r="AB54" i="3" s="1"/>
  <c r="Y55" i="3"/>
  <c r="AB55" i="3" s="1"/>
  <c r="Y56" i="3"/>
  <c r="AB56" i="3" s="1"/>
  <c r="Y57" i="3"/>
  <c r="AB57" i="3" s="1"/>
  <c r="AB58" i="3"/>
  <c r="Y59" i="3"/>
  <c r="AB59" i="3" s="1"/>
  <c r="Y60" i="3"/>
  <c r="AB60" i="3" s="1"/>
  <c r="Y61" i="3"/>
  <c r="AB61" i="3" s="1"/>
  <c r="Y63" i="3"/>
  <c r="AB63" i="3" s="1"/>
  <c r="Y64" i="3"/>
  <c r="AB64" i="3" s="1"/>
  <c r="Y65" i="3"/>
  <c r="AB65" i="3" s="1"/>
  <c r="Y66" i="3"/>
  <c r="AB66" i="3" s="1"/>
  <c r="Y67" i="3"/>
  <c r="AB67" i="3" s="1"/>
  <c r="Y68" i="3"/>
  <c r="AB68" i="3" s="1"/>
  <c r="Y69" i="3"/>
  <c r="AB69" i="3" s="1"/>
  <c r="Y70" i="3"/>
  <c r="AB70" i="3" s="1"/>
  <c r="Y71" i="3"/>
  <c r="AB71" i="3" s="1"/>
  <c r="Y72" i="3"/>
  <c r="AB72" i="3" s="1"/>
  <c r="Y73" i="3"/>
  <c r="AB73" i="3" s="1"/>
  <c r="Y74" i="3"/>
  <c r="AB74" i="3" s="1"/>
  <c r="Y75" i="3"/>
  <c r="AB75" i="3" s="1"/>
  <c r="Y76" i="3"/>
  <c r="AB76" i="3" s="1"/>
  <c r="Y77" i="3"/>
  <c r="AB77" i="3" s="1"/>
  <c r="Y78" i="3"/>
  <c r="AB78" i="3" s="1"/>
  <c r="Y79" i="3"/>
  <c r="AB79" i="3" s="1"/>
  <c r="Y80" i="3"/>
  <c r="AB80" i="3" s="1"/>
  <c r="Y81" i="3"/>
  <c r="AB81" i="3" s="1"/>
  <c r="Y82" i="3"/>
  <c r="AB82" i="3" s="1"/>
  <c r="Y83" i="3"/>
  <c r="AB83" i="3" s="1"/>
  <c r="Y84" i="3"/>
  <c r="AB84" i="3" s="1"/>
  <c r="Y85" i="3"/>
  <c r="AB85" i="3" s="1"/>
  <c r="Y86" i="3"/>
  <c r="AB86" i="3" s="1"/>
  <c r="Y87" i="3"/>
  <c r="AB87" i="3" s="1"/>
  <c r="Y88" i="3"/>
  <c r="AB88" i="3" s="1"/>
  <c r="Y89" i="3"/>
  <c r="AB89" i="3" s="1"/>
  <c r="Y90" i="3"/>
  <c r="AB90" i="3" s="1"/>
  <c r="Y91" i="3"/>
  <c r="AB91" i="3" s="1"/>
  <c r="Y92" i="3"/>
  <c r="AB92" i="3" s="1"/>
  <c r="Y93" i="3"/>
  <c r="AB93" i="3" s="1"/>
  <c r="Y94" i="3"/>
  <c r="AB94" i="3" s="1"/>
  <c r="Y95" i="3"/>
  <c r="AB95" i="3" s="1"/>
  <c r="Y96" i="3"/>
  <c r="AB96" i="3" s="1"/>
  <c r="Y97" i="3"/>
  <c r="AB97" i="3" s="1"/>
  <c r="Y98" i="3"/>
  <c r="AB98" i="3" s="1"/>
  <c r="Y99" i="3"/>
  <c r="AB99" i="3" s="1"/>
  <c r="Y100" i="3"/>
  <c r="AB100" i="3" s="1"/>
  <c r="Y101" i="3"/>
  <c r="AB101" i="3" s="1"/>
  <c r="Y102" i="3"/>
  <c r="AB102" i="3" s="1"/>
  <c r="Y103" i="3"/>
  <c r="AB103" i="3" s="1"/>
  <c r="Y104" i="3"/>
  <c r="AB104" i="3" s="1"/>
  <c r="Y105" i="3"/>
  <c r="AB105" i="3" s="1"/>
  <c r="Y106" i="3"/>
  <c r="AB106" i="3" s="1"/>
  <c r="Y107" i="3"/>
  <c r="AB107" i="3" s="1"/>
  <c r="Y108" i="3"/>
  <c r="AB108" i="3" s="1"/>
  <c r="Y109" i="3"/>
  <c r="AB109" i="3" s="1"/>
  <c r="Y110" i="3"/>
  <c r="AB110" i="3" s="1"/>
  <c r="Y111" i="3"/>
  <c r="AB111" i="3" s="1"/>
  <c r="Y112" i="3"/>
  <c r="AB112" i="3" s="1"/>
  <c r="Y113" i="3"/>
  <c r="AB113" i="3" s="1"/>
  <c r="Y114" i="3"/>
  <c r="AB114" i="3" s="1"/>
  <c r="Y115" i="3"/>
  <c r="AB115" i="3" s="1"/>
  <c r="Y116" i="3"/>
  <c r="AB116" i="3" s="1"/>
  <c r="Y117" i="3"/>
  <c r="AB117" i="3" s="1"/>
  <c r="Y118" i="3"/>
  <c r="AB118" i="3" s="1"/>
  <c r="Y119" i="3"/>
  <c r="AB119" i="3" s="1"/>
  <c r="Y120" i="3"/>
  <c r="AB120" i="3" s="1"/>
  <c r="Y121" i="3"/>
  <c r="AB121" i="3" s="1"/>
  <c r="Y122" i="3"/>
  <c r="AB122" i="3" s="1"/>
  <c r="Y123" i="3"/>
  <c r="AB123" i="3" s="1"/>
  <c r="Y124" i="3"/>
  <c r="AB124" i="3" s="1"/>
  <c r="Y125" i="3"/>
  <c r="AB125" i="3" s="1"/>
  <c r="Y126" i="3"/>
  <c r="AB126" i="3" s="1"/>
  <c r="Y127" i="3"/>
  <c r="AB127" i="3" s="1"/>
  <c r="Y128" i="3"/>
  <c r="AB128" i="3" s="1"/>
  <c r="Y129" i="3"/>
  <c r="AB129" i="3" s="1"/>
  <c r="Y130" i="3"/>
  <c r="AB130" i="3" s="1"/>
  <c r="Y131" i="3"/>
  <c r="AB131" i="3" s="1"/>
  <c r="Y132" i="3"/>
  <c r="AB132" i="3" s="1"/>
  <c r="Y133" i="3"/>
  <c r="AB133" i="3" s="1"/>
  <c r="Y134" i="3"/>
  <c r="AB134" i="3" s="1"/>
  <c r="Y135" i="3"/>
  <c r="AB135" i="3" s="1"/>
  <c r="Y136" i="3"/>
  <c r="AB136" i="3" s="1"/>
  <c r="Y137" i="3"/>
  <c r="AB137" i="3" s="1"/>
  <c r="Y138" i="3"/>
  <c r="AB138" i="3" s="1"/>
  <c r="Y139" i="3"/>
  <c r="AB139" i="3" s="1"/>
  <c r="Y140" i="3"/>
  <c r="AB140" i="3" s="1"/>
  <c r="Y141" i="3"/>
  <c r="AB141" i="3" s="1"/>
  <c r="Y142" i="3"/>
  <c r="AB142" i="3" s="1"/>
  <c r="Y143" i="3"/>
  <c r="AB143" i="3" s="1"/>
  <c r="Y144" i="3"/>
  <c r="AB144" i="3" s="1"/>
  <c r="Y145" i="3"/>
  <c r="AB145" i="3" s="1"/>
  <c r="Y146" i="3"/>
  <c r="AB146" i="3" s="1"/>
  <c r="Y147" i="3"/>
  <c r="AB147" i="3" s="1"/>
  <c r="Y148" i="3"/>
  <c r="AB148" i="3" s="1"/>
  <c r="Y149" i="3"/>
  <c r="AB149" i="3" s="1"/>
  <c r="Y150" i="3"/>
  <c r="AB150" i="3" s="1"/>
  <c r="Y151" i="3"/>
  <c r="AB151" i="3" s="1"/>
  <c r="Y152" i="3"/>
  <c r="AB152" i="3" s="1"/>
  <c r="Y153" i="3"/>
  <c r="AB153" i="3" s="1"/>
  <c r="Y154" i="3"/>
  <c r="AB154" i="3" s="1"/>
  <c r="Y155" i="3"/>
  <c r="AB155" i="3" s="1"/>
  <c r="Y156" i="3"/>
  <c r="AB156" i="3" s="1"/>
  <c r="Y157" i="3"/>
  <c r="AB157" i="3" s="1"/>
  <c r="Y158" i="3"/>
  <c r="AB158" i="3" s="1"/>
  <c r="Y159" i="3"/>
  <c r="AB159" i="3" s="1"/>
  <c r="Y160" i="3"/>
  <c r="AB160" i="3" s="1"/>
  <c r="Y161" i="3"/>
  <c r="AB161" i="3" s="1"/>
  <c r="Y162" i="3"/>
  <c r="AB162" i="3" s="1"/>
  <c r="Y163" i="3"/>
  <c r="AB163" i="3" s="1"/>
  <c r="Y164" i="3"/>
  <c r="AB164" i="3" s="1"/>
  <c r="Y165" i="3"/>
  <c r="AB165" i="3" s="1"/>
  <c r="Y166" i="3"/>
  <c r="AB166" i="3" s="1"/>
  <c r="Y167" i="3"/>
  <c r="AB167" i="3" s="1"/>
  <c r="Y168" i="3"/>
  <c r="AB168" i="3" s="1"/>
  <c r="Y169" i="3"/>
  <c r="AB169" i="3" s="1"/>
  <c r="Y6" i="3"/>
  <c r="AB6" i="3" s="1"/>
  <c r="S7" i="3"/>
  <c r="V7" i="3" s="1"/>
  <c r="S8" i="3"/>
  <c r="V8" i="3" s="1"/>
  <c r="S9" i="3"/>
  <c r="V9" i="3" s="1"/>
  <c r="S10" i="3"/>
  <c r="V10" i="3" s="1"/>
  <c r="S11" i="3"/>
  <c r="V11" i="3" s="1"/>
  <c r="S12" i="3"/>
  <c r="V12" i="3" s="1"/>
  <c r="S13" i="3"/>
  <c r="V13" i="3" s="1"/>
  <c r="S14" i="3"/>
  <c r="V14" i="3" s="1"/>
  <c r="S15" i="3"/>
  <c r="V15" i="3" s="1"/>
  <c r="S16" i="3"/>
  <c r="V16" i="3" s="1"/>
  <c r="S17" i="3"/>
  <c r="V17" i="3" s="1"/>
  <c r="S18" i="3"/>
  <c r="V18" i="3" s="1"/>
  <c r="S19" i="3"/>
  <c r="V19" i="3" s="1"/>
  <c r="S20" i="3"/>
  <c r="V20" i="3" s="1"/>
  <c r="S21" i="3"/>
  <c r="V21" i="3" s="1"/>
  <c r="S22" i="3"/>
  <c r="V22" i="3" s="1"/>
  <c r="S23" i="3"/>
  <c r="V23" i="3" s="1"/>
  <c r="S24" i="3"/>
  <c r="V24" i="3" s="1"/>
  <c r="S25" i="3"/>
  <c r="V25" i="3" s="1"/>
  <c r="S26" i="3"/>
  <c r="V26" i="3" s="1"/>
  <c r="S27" i="3"/>
  <c r="V27" i="3" s="1"/>
  <c r="S28" i="3"/>
  <c r="V28" i="3" s="1"/>
  <c r="S29" i="3"/>
  <c r="V29" i="3" s="1"/>
  <c r="S30" i="3"/>
  <c r="V30" i="3" s="1"/>
  <c r="S31" i="3"/>
  <c r="V31" i="3" s="1"/>
  <c r="S32" i="3"/>
  <c r="V32" i="3" s="1"/>
  <c r="S33" i="3"/>
  <c r="V33" i="3" s="1"/>
  <c r="S34" i="3"/>
  <c r="V34" i="3" s="1"/>
  <c r="S35" i="3"/>
  <c r="V35" i="3" s="1"/>
  <c r="S36" i="3"/>
  <c r="V36" i="3" s="1"/>
  <c r="S37" i="3"/>
  <c r="V37" i="3" s="1"/>
  <c r="S38" i="3"/>
  <c r="V38" i="3" s="1"/>
  <c r="S39" i="3"/>
  <c r="V39" i="3" s="1"/>
  <c r="S41" i="3"/>
  <c r="V41" i="3" s="1"/>
  <c r="S42" i="3"/>
  <c r="V42" i="3" s="1"/>
  <c r="S43" i="3"/>
  <c r="V43" i="3" s="1"/>
  <c r="S44" i="3"/>
  <c r="V44" i="3" s="1"/>
  <c r="S45" i="3"/>
  <c r="V45" i="3" s="1"/>
  <c r="S46" i="3"/>
  <c r="V46" i="3" s="1"/>
  <c r="S47" i="3"/>
  <c r="V47" i="3" s="1"/>
  <c r="S48" i="3"/>
  <c r="V48" i="3" s="1"/>
  <c r="S49" i="3"/>
  <c r="V49" i="3" s="1"/>
  <c r="S50" i="3"/>
  <c r="V50" i="3" s="1"/>
  <c r="S51" i="3"/>
  <c r="V51" i="3" s="1"/>
  <c r="S52" i="3"/>
  <c r="V52" i="3" s="1"/>
  <c r="S53" i="3"/>
  <c r="V53" i="3" s="1"/>
  <c r="S54" i="3"/>
  <c r="V54" i="3" s="1"/>
  <c r="S55" i="3"/>
  <c r="V55" i="3" s="1"/>
  <c r="S56" i="3"/>
  <c r="V56" i="3" s="1"/>
  <c r="S57" i="3"/>
  <c r="V57" i="3" s="1"/>
  <c r="S59" i="3"/>
  <c r="V59" i="3" s="1"/>
  <c r="S60" i="3"/>
  <c r="V60" i="3" s="1"/>
  <c r="S61" i="3"/>
  <c r="V61" i="3" s="1"/>
  <c r="S62" i="3"/>
  <c r="V62" i="3" s="1"/>
  <c r="S63" i="3"/>
  <c r="V63" i="3" s="1"/>
  <c r="S64" i="3"/>
  <c r="V64" i="3" s="1"/>
  <c r="S65" i="3"/>
  <c r="V65" i="3" s="1"/>
  <c r="S66" i="3"/>
  <c r="V66" i="3" s="1"/>
  <c r="S67" i="3"/>
  <c r="V67" i="3" s="1"/>
  <c r="S68" i="3"/>
  <c r="V68" i="3" s="1"/>
  <c r="S69" i="3"/>
  <c r="V69" i="3" s="1"/>
  <c r="S70" i="3"/>
  <c r="V70" i="3" s="1"/>
  <c r="S71" i="3"/>
  <c r="V71" i="3" s="1"/>
  <c r="S72" i="3"/>
  <c r="V72" i="3" s="1"/>
  <c r="S73" i="3"/>
  <c r="V73" i="3" s="1"/>
  <c r="S74" i="3"/>
  <c r="V74" i="3" s="1"/>
  <c r="S75" i="3"/>
  <c r="V75" i="3" s="1"/>
  <c r="S76" i="3"/>
  <c r="V76" i="3" s="1"/>
  <c r="S77" i="3"/>
  <c r="V77" i="3" s="1"/>
  <c r="S78" i="3"/>
  <c r="V78" i="3" s="1"/>
  <c r="S79" i="3"/>
  <c r="V79" i="3" s="1"/>
  <c r="S80" i="3"/>
  <c r="V80" i="3" s="1"/>
  <c r="S81" i="3"/>
  <c r="V81" i="3" s="1"/>
  <c r="S82" i="3"/>
  <c r="V82" i="3" s="1"/>
  <c r="S83" i="3"/>
  <c r="V83" i="3" s="1"/>
  <c r="S84" i="3"/>
  <c r="V84" i="3" s="1"/>
  <c r="S85" i="3"/>
  <c r="V85" i="3" s="1"/>
  <c r="S86" i="3"/>
  <c r="V86" i="3" s="1"/>
  <c r="S87" i="3"/>
  <c r="V87" i="3" s="1"/>
  <c r="S88" i="3"/>
  <c r="V88" i="3" s="1"/>
  <c r="S89" i="3"/>
  <c r="V89" i="3" s="1"/>
  <c r="S90" i="3"/>
  <c r="V90" i="3" s="1"/>
  <c r="S91" i="3"/>
  <c r="V91" i="3" s="1"/>
  <c r="S92" i="3"/>
  <c r="V92" i="3" s="1"/>
  <c r="S93" i="3"/>
  <c r="V93" i="3" s="1"/>
  <c r="S94" i="3"/>
  <c r="V94" i="3" s="1"/>
  <c r="S95" i="3"/>
  <c r="V95" i="3" s="1"/>
  <c r="S96" i="3"/>
  <c r="V96" i="3" s="1"/>
  <c r="S97" i="3"/>
  <c r="V97" i="3" s="1"/>
  <c r="S98" i="3"/>
  <c r="V98" i="3" s="1"/>
  <c r="S99" i="3"/>
  <c r="V99" i="3" s="1"/>
  <c r="S100" i="3"/>
  <c r="V100" i="3" s="1"/>
  <c r="S101" i="3"/>
  <c r="V101" i="3" s="1"/>
  <c r="S102" i="3"/>
  <c r="V102" i="3" s="1"/>
  <c r="S103" i="3"/>
  <c r="V103" i="3" s="1"/>
  <c r="S104" i="3"/>
  <c r="V104" i="3" s="1"/>
  <c r="S105" i="3"/>
  <c r="V105" i="3" s="1"/>
  <c r="S106" i="3"/>
  <c r="V106" i="3" s="1"/>
  <c r="S107" i="3"/>
  <c r="V107" i="3" s="1"/>
  <c r="S108" i="3"/>
  <c r="V108" i="3" s="1"/>
  <c r="S109" i="3"/>
  <c r="V109" i="3" s="1"/>
  <c r="S110" i="3"/>
  <c r="V110" i="3" s="1"/>
  <c r="S111" i="3"/>
  <c r="V111" i="3" s="1"/>
  <c r="S112" i="3"/>
  <c r="V112" i="3" s="1"/>
  <c r="S113" i="3"/>
  <c r="V113" i="3" s="1"/>
  <c r="S114" i="3"/>
  <c r="V114" i="3" s="1"/>
  <c r="S115" i="3"/>
  <c r="V115" i="3" s="1"/>
  <c r="S116" i="3"/>
  <c r="V116" i="3" s="1"/>
  <c r="S117" i="3"/>
  <c r="V117" i="3" s="1"/>
  <c r="S118" i="3"/>
  <c r="V118" i="3" s="1"/>
  <c r="S119" i="3"/>
  <c r="V119" i="3" s="1"/>
  <c r="S120" i="3"/>
  <c r="V120" i="3" s="1"/>
  <c r="S121" i="3"/>
  <c r="V121" i="3" s="1"/>
  <c r="S122" i="3"/>
  <c r="V122" i="3" s="1"/>
  <c r="S123" i="3"/>
  <c r="V123" i="3" s="1"/>
  <c r="S124" i="3"/>
  <c r="V124" i="3" s="1"/>
  <c r="S125" i="3"/>
  <c r="V125" i="3" s="1"/>
  <c r="S126" i="3"/>
  <c r="V126" i="3" s="1"/>
  <c r="S127" i="3"/>
  <c r="V127" i="3" s="1"/>
  <c r="S128" i="3"/>
  <c r="V128" i="3" s="1"/>
  <c r="S129" i="3"/>
  <c r="V129" i="3" s="1"/>
  <c r="S130" i="3"/>
  <c r="V130" i="3" s="1"/>
  <c r="S131" i="3"/>
  <c r="V131" i="3" s="1"/>
  <c r="S132" i="3"/>
  <c r="V132" i="3" s="1"/>
  <c r="S133" i="3"/>
  <c r="V133" i="3" s="1"/>
  <c r="S134" i="3"/>
  <c r="V134" i="3" s="1"/>
  <c r="S135" i="3"/>
  <c r="V135" i="3" s="1"/>
  <c r="S136" i="3"/>
  <c r="V136" i="3" s="1"/>
  <c r="S137" i="3"/>
  <c r="V137" i="3" s="1"/>
  <c r="S138" i="3"/>
  <c r="V138" i="3" s="1"/>
  <c r="S139" i="3"/>
  <c r="V139" i="3" s="1"/>
  <c r="S140" i="3"/>
  <c r="V140" i="3" s="1"/>
  <c r="S141" i="3"/>
  <c r="V141" i="3" s="1"/>
  <c r="S142" i="3"/>
  <c r="V142" i="3" s="1"/>
  <c r="S143" i="3"/>
  <c r="V143" i="3" s="1"/>
  <c r="S144" i="3"/>
  <c r="V144" i="3" s="1"/>
  <c r="S145" i="3"/>
  <c r="V145" i="3" s="1"/>
  <c r="S146" i="3"/>
  <c r="V146" i="3" s="1"/>
  <c r="S147" i="3"/>
  <c r="V147" i="3" s="1"/>
  <c r="S148" i="3"/>
  <c r="V148" i="3" s="1"/>
  <c r="S149" i="3"/>
  <c r="V149" i="3" s="1"/>
  <c r="S150" i="3"/>
  <c r="V150" i="3" s="1"/>
  <c r="S151" i="3"/>
  <c r="V151" i="3" s="1"/>
  <c r="S152" i="3"/>
  <c r="V152" i="3" s="1"/>
  <c r="S153" i="3"/>
  <c r="V153" i="3" s="1"/>
  <c r="S154" i="3"/>
  <c r="V154" i="3" s="1"/>
  <c r="S155" i="3"/>
  <c r="V155" i="3" s="1"/>
  <c r="S156" i="3"/>
  <c r="V156" i="3" s="1"/>
  <c r="S157" i="3"/>
  <c r="V157" i="3" s="1"/>
  <c r="S158" i="3"/>
  <c r="V158" i="3" s="1"/>
  <c r="S159" i="3"/>
  <c r="V159" i="3" s="1"/>
  <c r="S160" i="3"/>
  <c r="V160" i="3" s="1"/>
  <c r="S161" i="3"/>
  <c r="V161" i="3" s="1"/>
  <c r="S162" i="3"/>
  <c r="V162" i="3" s="1"/>
  <c r="S163" i="3"/>
  <c r="V163" i="3" s="1"/>
  <c r="S164" i="3"/>
  <c r="V164" i="3" s="1"/>
  <c r="S6" i="3"/>
  <c r="V6" i="3" s="1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G109" i="7" l="1"/>
  <c r="G174" i="7"/>
  <c r="G40" i="7"/>
  <c r="G18" i="7"/>
  <c r="G54" i="7"/>
  <c r="G135" i="7"/>
  <c r="G41" i="7"/>
  <c r="G17" i="7"/>
  <c r="G32" i="7"/>
  <c r="G58" i="7"/>
  <c r="G60" i="7"/>
  <c r="G20" i="7"/>
  <c r="G140" i="7"/>
  <c r="G98" i="7"/>
  <c r="G72" i="7"/>
  <c r="G146" i="7"/>
  <c r="G95" i="7"/>
  <c r="G107" i="7"/>
  <c r="G173" i="7"/>
  <c r="G160" i="7"/>
  <c r="G74" i="7"/>
  <c r="G168" i="7"/>
  <c r="G10" i="7"/>
  <c r="G81" i="7"/>
  <c r="G16" i="7"/>
  <c r="G121" i="7"/>
  <c r="G38" i="7"/>
  <c r="G19" i="7"/>
  <c r="G21" i="7"/>
  <c r="G24" i="7"/>
  <c r="G30" i="7"/>
  <c r="G44" i="7"/>
  <c r="G96" i="7"/>
  <c r="G12" i="7"/>
  <c r="G46" i="7"/>
  <c r="G163" i="7"/>
  <c r="G78" i="7"/>
  <c r="G80" i="7"/>
  <c r="G42" i="7"/>
  <c r="G154" i="7"/>
  <c r="G33" i="7"/>
  <c r="G13" i="7"/>
  <c r="G117" i="7"/>
  <c r="G119" i="7"/>
  <c r="G82" i="7"/>
  <c r="G47" i="7"/>
  <c r="G29" i="7"/>
  <c r="G128" i="7"/>
  <c r="G43" i="7"/>
  <c r="G110" i="7"/>
  <c r="G148" i="7"/>
  <c r="G88" i="7"/>
  <c r="G118" i="7"/>
  <c r="G70" i="7"/>
  <c r="G91" i="7"/>
  <c r="G149" i="7"/>
  <c r="G77" i="7"/>
  <c r="G59" i="7"/>
  <c r="G22" i="7"/>
  <c r="G134" i="7"/>
  <c r="G35" i="7"/>
  <c r="G55" i="7"/>
  <c r="G66" i="7"/>
  <c r="G102" i="7"/>
  <c r="G76" i="7"/>
  <c r="G145" i="7"/>
  <c r="G75" i="7"/>
  <c r="G97" i="7"/>
  <c r="G161" i="7"/>
  <c r="G170" i="7"/>
  <c r="G101" i="7"/>
  <c r="G177" i="7"/>
  <c r="G151" i="7"/>
  <c r="G115" i="7"/>
  <c r="G99" i="7"/>
  <c r="G61" i="7"/>
  <c r="G45" i="7"/>
  <c r="G28" i="7"/>
  <c r="G8" i="7"/>
  <c r="G14" i="7"/>
  <c r="G83" i="7"/>
  <c r="G63" i="7"/>
  <c r="G103" i="7"/>
  <c r="G56" i="7"/>
  <c r="G34" i="7"/>
  <c r="G48" i="7"/>
  <c r="G100" i="7"/>
  <c r="G167" i="7"/>
  <c r="G89" i="7"/>
  <c r="G152" i="7"/>
  <c r="G150" i="7"/>
  <c r="G142" i="7"/>
  <c r="G155" i="7"/>
  <c r="G68" i="7"/>
  <c r="G62" i="7"/>
  <c r="G23" i="7"/>
  <c r="G157" i="7"/>
  <c r="G120" i="7"/>
  <c r="G105" i="7"/>
  <c r="G86" i="7"/>
  <c r="G69" i="7"/>
  <c r="G73" i="7"/>
  <c r="G26" i="7"/>
  <c r="G131" i="7"/>
  <c r="G176" i="7"/>
  <c r="G137" i="7"/>
  <c r="G165" i="7"/>
  <c r="G9" i="7"/>
  <c r="G139" i="7"/>
  <c r="G49" i="7"/>
  <c r="G116" i="7"/>
  <c r="G37" i="7"/>
  <c r="G11" i="7"/>
  <c r="G178" i="7"/>
  <c r="G125" i="7"/>
  <c r="G106" i="7"/>
  <c r="G87" i="7"/>
  <c r="G94" i="7"/>
  <c r="G71" i="7"/>
  <c r="G169" i="7"/>
  <c r="G175" i="7"/>
  <c r="G123" i="7"/>
  <c r="G136" i="7"/>
  <c r="G138" i="7"/>
  <c r="G85" i="7"/>
  <c r="G130" i="7"/>
  <c r="G90" i="7"/>
  <c r="G51" i="7"/>
  <c r="G25" i="7"/>
  <c r="G159" i="7"/>
  <c r="G143" i="7"/>
  <c r="G126" i="7"/>
  <c r="G108" i="7"/>
  <c r="G113" i="7"/>
  <c r="G114" i="7"/>
  <c r="G31" i="7"/>
  <c r="G52" i="7"/>
  <c r="G50" i="7"/>
  <c r="G15" i="7"/>
  <c r="G57" i="7"/>
  <c r="G122" i="7"/>
  <c r="G65" i="7"/>
  <c r="G164" i="7"/>
  <c r="G127" i="7"/>
  <c r="G133" i="7"/>
  <c r="G156" i="7"/>
  <c r="G36" i="7"/>
  <c r="G92" i="7"/>
  <c r="G64" i="7"/>
  <c r="G112" i="7"/>
  <c r="G27" i="7"/>
  <c r="G144" i="7"/>
  <c r="G39" i="7"/>
  <c r="G158" i="7"/>
  <c r="G79" i="7"/>
  <c r="G53" i="7"/>
  <c r="G166" i="7"/>
  <c r="G147" i="7"/>
  <c r="G124" i="7"/>
  <c r="G84" i="7"/>
  <c r="G141" i="7"/>
  <c r="G111" i="7"/>
  <c r="G7" i="7"/>
  <c r="G104" i="7"/>
  <c r="G172" i="7"/>
  <c r="G132" i="7"/>
  <c r="G93" i="7"/>
  <c r="G67" i="7"/>
  <c r="G162" i="7"/>
  <c r="G129" i="7"/>
  <c r="G171" i="7"/>
  <c r="G153" i="7"/>
  <c r="M6" i="3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<sst xmlns="http://schemas.openxmlformats.org/spreadsheetml/2006/main" count="2141" uniqueCount="269">
  <si>
    <t>Rim</t>
  </si>
  <si>
    <t>Pcs</t>
  </si>
  <si>
    <t>BPJS KESEHATAN CABANG JAKARTA UTARA</t>
  </si>
  <si>
    <t>NO</t>
  </si>
  <si>
    <t>URAIAN</t>
  </si>
  <si>
    <t>SATUAN</t>
  </si>
  <si>
    <t>STOK AWAL</t>
  </si>
  <si>
    <t>Penggaris Butterfly 30 cm</t>
  </si>
  <si>
    <t>Lakban Coklat Besar 2 inch (lebar 48mm x 90 yard)</t>
  </si>
  <si>
    <t>Lakban Hitam Besar 2 inch (lebar 48mm x 90 yard)</t>
  </si>
  <si>
    <t>Lakban Bening 2 inch (lebar 48mm x 90 yard)</t>
  </si>
  <si>
    <t>Double Tip Ukuran Sedang</t>
  </si>
  <si>
    <t>Label T &amp; J No. 124 1 pack isi 10 pcs</t>
  </si>
  <si>
    <t>Label T &amp; J No. 123 1 pack isi 10 pcs</t>
  </si>
  <si>
    <t>Label T &amp; J No. 99 1 pack isi 10 pcs</t>
  </si>
  <si>
    <t>Baterai Alkalin 1.5V A2 Isi 6</t>
  </si>
  <si>
    <t>Baterai Alkalin 1.5V A3 Isi 6</t>
  </si>
  <si>
    <t>Ballpoint Pilot Ball Liner Medium Black 1 pack isi 12 pcs</t>
  </si>
  <si>
    <t>Ballpoint Pilot Ball Liner Medium Blue 1 pack isi 12 pcs</t>
  </si>
  <si>
    <t>Ballpoint Zebra Sarasa Clip Black (1.0) 1 pack isi 12 pcs</t>
  </si>
  <si>
    <t>Ballpoint Zebra Sarasa Clip Black (0.5) 1 pack isi 12 pcs</t>
  </si>
  <si>
    <t>Clear Holder Folio F4 Size  Isi 60</t>
  </si>
  <si>
    <t>Benex Black 2 Rings (75mm) Labela</t>
  </si>
  <si>
    <t>Sign Here Warna Warni Joyko 1 pack isi 12 pcs</t>
  </si>
  <si>
    <t>Sticky Notes Kecil (5x5 cm) Pronto 1 pack isi 12 pcs</t>
  </si>
  <si>
    <t>Pack</t>
  </si>
  <si>
    <t>Sticky Notes Sedang 76 x 51 mm Pronto 1 pack isi 12 pcs</t>
  </si>
  <si>
    <t>Sticky Notes Besar 76 x 76 mm Pronto 1 pack isi 12 pcs</t>
  </si>
  <si>
    <t>Kertas A4 (75 gram)</t>
  </si>
  <si>
    <t>Kertas F4 (75 gram)</t>
  </si>
  <si>
    <t>Kertas Kop BPJS Kesehatan</t>
  </si>
  <si>
    <t xml:space="preserve">Bindex File Jumbo 1034B </t>
  </si>
  <si>
    <t>Snowman Spidol Papan Tulis BG-12 Black</t>
  </si>
  <si>
    <t>Snowman Spidol Papan Tulis BG-12 Blue</t>
  </si>
  <si>
    <t>Snowman Spidol Papan Tulis BG-12 Red</t>
  </si>
  <si>
    <t>Set Pen Holder Tempat Alat Tulis Joyko Meja Kantor DS-23</t>
  </si>
  <si>
    <t>Highlighter-Kuning (Stabilo Boss Original - Kuning)</t>
  </si>
  <si>
    <t>Highlighter-Kuning (Stabilo Boss Original - Hijau Muda)</t>
  </si>
  <si>
    <t>Materai 10000 (1 Lembar isi 100 Pcs)</t>
  </si>
  <si>
    <t>Kenko Glue Stick 25 g 1 pack isi 12 pcs</t>
  </si>
  <si>
    <t>Stapler Kenko HD-10N</t>
  </si>
  <si>
    <t>Stapler Kenko HD-50N</t>
  </si>
  <si>
    <t>Isi Staples Kenko No.3-1M 1 pack isi 20 box kecil</t>
  </si>
  <si>
    <t>Isi Staples Kenko No.10-1M 1 pack isi 20 box kecil</t>
  </si>
  <si>
    <t>Cutter Joyko L-500</t>
  </si>
  <si>
    <t>Cutter Joyko A-300</t>
  </si>
  <si>
    <t>Isi Cutter Joyko L-500 1 pack isi 12 pcs</t>
  </si>
  <si>
    <t>Isi Cutter Joyko A-300 1 pack isi 12 pcs</t>
  </si>
  <si>
    <t>Paper Clips No. 5 1 pack isi 10 box kecil</t>
  </si>
  <si>
    <t>Box Kecil</t>
  </si>
  <si>
    <t>Paper Clips No. 3 1 pack isi 10 box kecil</t>
  </si>
  <si>
    <t>Binder Clips Joyko No. 300 1 dus isi 6 pcs</t>
  </si>
  <si>
    <t>Dus</t>
  </si>
  <si>
    <t>Binder Clips Joyko No. 200 1 dus isi 12 Pcs</t>
  </si>
  <si>
    <t>Binder Clips Joyko No. 155 1 dus isi 12 box kecil</t>
  </si>
  <si>
    <t>Binder Clips Joyko No. 111 1 dus isi 12 box kecil</t>
  </si>
  <si>
    <t>Binder Clips Joyko No. 107 1 dus isi 12 box kecil</t>
  </si>
  <si>
    <t>Binder Clips Joyko No. 105 1 dus isi 12 box kecil</t>
  </si>
  <si>
    <t>Amplop Coklat BPJS Kesehatan 1 pack isi 10 pcs</t>
  </si>
  <si>
    <t>Map BPJS Kesehatan 1 pack isi 12 pcs</t>
  </si>
  <si>
    <t>Map Kertas Biola Polos Warna Warni 5002 1 pack isi 50 pcs</t>
  </si>
  <si>
    <t>Buku Berkas Ukuran Besar</t>
  </si>
  <si>
    <t>Nota Kontan Paperline 25 set (108 x 155 mm)</t>
  </si>
  <si>
    <t>- Magenta (M)</t>
  </si>
  <si>
    <t>- Black (K)</t>
  </si>
  <si>
    <t>- Cyan ( C )</t>
  </si>
  <si>
    <t>- Yellow (Y)</t>
  </si>
  <si>
    <t>Bantex</t>
  </si>
  <si>
    <t>Map Bening</t>
  </si>
  <si>
    <t>Double Tim 3M</t>
  </si>
  <si>
    <t>Joyko Tempat Pensil DS-18</t>
  </si>
  <si>
    <t>Joyko Rak Dokumen DT-25 (3 susun)</t>
  </si>
  <si>
    <t>Rak Dokumen Ukuran Kertas F4 (2 susun)</t>
  </si>
  <si>
    <t>Snowman Spidol Permanent Black 1 pack isi 12</t>
  </si>
  <si>
    <t>Alat Pelepas Staples SR 51</t>
  </si>
  <si>
    <t>Map Kancing Coklat Kyoto K.311 1 dus isi 10 pcs</t>
  </si>
  <si>
    <t>Map Plastik Zipper Bag</t>
  </si>
  <si>
    <t>Toner HP P1102 85A</t>
  </si>
  <si>
    <t>Label T &amp; J No. 109 1 pack isi 10 pcs</t>
  </si>
  <si>
    <t>Label T &amp; J No. 121 1 pack isi 10 pcs</t>
  </si>
  <si>
    <t>Label T &amp; J No. 112 1 pack isi 10 pcs</t>
  </si>
  <si>
    <t>Label T &amp; J No. 103 1 pack isi 10 pcs</t>
  </si>
  <si>
    <t>Label T &amp; J No. 104 1 pack isi 10 pcs</t>
  </si>
  <si>
    <t>Stabilo Plan 2,5 - 3,5 MM Red</t>
  </si>
  <si>
    <t>Pulpen Snowman V5 0.7 Merah</t>
  </si>
  <si>
    <t>Snowman Spidol ABG - 12 Black</t>
  </si>
  <si>
    <t>Refill Snowman V5 0.7 1 pack isi 12 pcs</t>
  </si>
  <si>
    <t xml:space="preserve">Block Note </t>
  </si>
  <si>
    <t>Artline 100</t>
  </si>
  <si>
    <t>Spidol Besar Snowman 500</t>
  </si>
  <si>
    <t>Highlighter Artline Clix Biru</t>
  </si>
  <si>
    <t>Highlighter Artline Clix Hijau</t>
  </si>
  <si>
    <t>Highlighter Artline Clix Pink</t>
  </si>
  <si>
    <t>Etona Staples No.10 - 1 M</t>
  </si>
  <si>
    <t>Kenko Spare Blade A - 100 1 box isi 12 pack</t>
  </si>
  <si>
    <t>Joyko Date Stamp D - 3</t>
  </si>
  <si>
    <t>Shiny 8 Band Numberer</t>
  </si>
  <si>
    <t>Joyko Eraser 526 B40BL</t>
  </si>
  <si>
    <t>SDI Staples No.1213</t>
  </si>
  <si>
    <t>Handseal Large</t>
  </si>
  <si>
    <t>Label T &amp; J No. 126 1 pack isi 10 pcs</t>
  </si>
  <si>
    <t>Artline Stamp Pad Ink</t>
  </si>
  <si>
    <t>Tape Cassette 24 MM</t>
  </si>
  <si>
    <t>-</t>
  </si>
  <si>
    <t>Sign Here Biasa Joyko 1 pack isi 24 pcs</t>
  </si>
  <si>
    <t>Lakban Bening Daimaru Sedang</t>
  </si>
  <si>
    <t>Isi Staples No.3 - 1 M Fine 1 pack isi 20 box kecil</t>
  </si>
  <si>
    <t xml:space="preserve">Kwitansi Paperline </t>
  </si>
  <si>
    <t>Spidol Snowman 450</t>
  </si>
  <si>
    <t>Buku Berkas Ukuran Kecil</t>
  </si>
  <si>
    <t>Ballpoint Zebra Sarasa Clip Black (0,7) 1 pack isi 12 pcs</t>
  </si>
  <si>
    <t>Gunting Scissors Joyko SC-828</t>
  </si>
  <si>
    <t>Gunting Scissors Joyko SC-838</t>
  </si>
  <si>
    <t>Gunting Scissors Joyko SC-848</t>
  </si>
  <si>
    <t>Binder Clips Joyko No. 260 1 dus isi 12 pcs</t>
  </si>
  <si>
    <t>Amplop Putih Polos 110 pps</t>
  </si>
  <si>
    <t>Amplop Putih Polos 90 pps</t>
  </si>
  <si>
    <t>Amplop Putih Jendela BPJS</t>
  </si>
  <si>
    <t>Nota Kontan Paperline 25 set (160 x 210 mm)</t>
  </si>
  <si>
    <t>Pengadaan</t>
  </si>
  <si>
    <t>Jumlah Realisasi</t>
  </si>
  <si>
    <t>Sisa Stok</t>
  </si>
  <si>
    <t>Total Setelah Pengadan</t>
  </si>
  <si>
    <t>Februari</t>
  </si>
  <si>
    <t>Mei</t>
  </si>
  <si>
    <t>Pulpen 4 warna (merah,biru,hijau,hitam) Joyko BP-213 (0.7 mm)</t>
  </si>
  <si>
    <t>Joyko Heavy Duty Punch no 85</t>
  </si>
  <si>
    <t>Joyko Heavy Duty Punch Kecil</t>
  </si>
  <si>
    <t>Marker Twin Head 0.5mm (hitam)</t>
  </si>
  <si>
    <t>Marker Twin Head 0.5mm (biru)</t>
  </si>
  <si>
    <t>Marker Twin Head 0.5mm (merah)</t>
  </si>
  <si>
    <t>Paper Cutter A3</t>
  </si>
  <si>
    <t>Map Batik 1 pack isi 12</t>
  </si>
  <si>
    <t>Baterai LR20 (D Size) 1 pack isi 12</t>
  </si>
  <si>
    <t>Juli</t>
  </si>
  <si>
    <t>Ballpoint Zebra Sarasa Clip Biru (0,7) 1 pack isi 12 pcs</t>
  </si>
  <si>
    <t>Ballpen Hitam Non Gel 0,5 BP-338 1 pack isi 12 pcs</t>
  </si>
  <si>
    <t>Felix Folder (Map L) 1 pack isi 12</t>
  </si>
  <si>
    <t>Pensil Faber Castel 2B</t>
  </si>
  <si>
    <t>Pembatas Buku Besi</t>
  </si>
  <si>
    <t>Kalkulator 868L</t>
  </si>
  <si>
    <t>Rautan Serut Putar</t>
  </si>
  <si>
    <t>Post it Sticky Note 51mm x 38mm</t>
  </si>
  <si>
    <t>Post it Flags and Page 3m</t>
  </si>
  <si>
    <t>Pad</t>
  </si>
  <si>
    <t>September</t>
  </si>
  <si>
    <t>Baterai R14S 2S 1 pack isi 2</t>
  </si>
  <si>
    <t>Lakban Bening Ukuran Kecil</t>
  </si>
  <si>
    <t>Kertas Flip Chart 60 x 90 isi 25</t>
  </si>
  <si>
    <t>Penghapus Faber Castel</t>
  </si>
  <si>
    <t>Corection Tape Roller</t>
  </si>
  <si>
    <t>Roll</t>
  </si>
  <si>
    <t>Box</t>
  </si>
  <si>
    <t>Brand Tape Green 3M</t>
  </si>
  <si>
    <t>November</t>
  </si>
  <si>
    <t>Pulpen Semi Gel Pen 0.5mm Black 1 pack isi 12 pcs</t>
  </si>
  <si>
    <t>Desk Set 9088 Tempat pensil meja</t>
  </si>
  <si>
    <t>Double Sided Tape Perekat (12mm x 13M)</t>
  </si>
  <si>
    <t>Double Sided Tape Perekat (24mm x 13M)</t>
  </si>
  <si>
    <t>Lakban Hitam (23m x 10m)</t>
  </si>
  <si>
    <t>Lakban Hitam (35 x 10m)</t>
  </si>
  <si>
    <t>Double Tape Bening Nano Gel (3cm x 3M)</t>
  </si>
  <si>
    <t>Kertas Coklat Lembaran (90x120)</t>
  </si>
  <si>
    <t xml:space="preserve">Rak Display 15 Susun </t>
  </si>
  <si>
    <t>Januari 2026</t>
  </si>
  <si>
    <t>Stok diambil Februari</t>
  </si>
  <si>
    <t>No</t>
  </si>
  <si>
    <t>Tanggal Masuk</t>
  </si>
  <si>
    <t>Nama Barang</t>
  </si>
  <si>
    <t>Jumlah</t>
  </si>
  <si>
    <t>Barang Keluar</t>
  </si>
  <si>
    <t>Sisa Stok Barang</t>
  </si>
  <si>
    <t>Bulan</t>
  </si>
  <si>
    <t>Tahun</t>
  </si>
  <si>
    <t>Stok Awal</t>
  </si>
  <si>
    <t>Jumlah Keluar</t>
  </si>
  <si>
    <t>Jumlah Masuk</t>
  </si>
  <si>
    <t>Clear Holder Folio F4 Size Isi 60</t>
  </si>
  <si>
    <t>Bindex File Jumbo 1034B</t>
  </si>
  <si>
    <t>Block Note</t>
  </si>
  <si>
    <t>Kwitansi Paperline</t>
  </si>
  <si>
    <t>Epson L3110/L3210 (003) Magenta (M)</t>
  </si>
  <si>
    <t>Epson L3110/L3210 (003) Black (K)</t>
  </si>
  <si>
    <t>Epson L3110/L3210 (003) Cyan ( C )</t>
  </si>
  <si>
    <t>Epson L3110/L3210 (003) Yellow (Y)</t>
  </si>
  <si>
    <t>Epson L360 (664) Magenta (M)</t>
  </si>
  <si>
    <t>Epson L360 (664) Black (K)</t>
  </si>
  <si>
    <t>Epson L360 (664) Cyan ( C )</t>
  </si>
  <si>
    <t>Epson L360 (664) Yellow (Y)</t>
  </si>
  <si>
    <t>Laser Toner Cartridge CF352A Magenta (M)</t>
  </si>
  <si>
    <t>Laser Toner Cartridge CF352A Black (K)</t>
  </si>
  <si>
    <t>Laser Toner Cartridge CF352A Cyan ( C )</t>
  </si>
  <si>
    <t>Laser Toner Cartridge CF352A Yellow (Y)</t>
  </si>
  <si>
    <t>Laser Toner Cartridge CE 285A Magenta (M)</t>
  </si>
  <si>
    <t>Laser Toner Cartridge CE 285A Black (K)</t>
  </si>
  <si>
    <t>Laser Toner Cartridge CE 285A Cyan ( C )</t>
  </si>
  <si>
    <t>Laser Toner Cartridge CE 285A Yellow (Y)</t>
  </si>
  <si>
    <t>Concorde Brief Card A4 220 gr/m2 Putih</t>
  </si>
  <si>
    <t>Concorde Brief Card A4 220 gr/m2 Hijau</t>
  </si>
  <si>
    <t>Concorde Brief Card A4 220 gr/m2 Biru</t>
  </si>
  <si>
    <t>Concorde Brief Card A4 220 gr/m2 Merah/Pink</t>
  </si>
  <si>
    <t>Concorde Brief Card A4 220 gr/m2 Kuning</t>
  </si>
  <si>
    <t>Concorde Brief Card A4 220 gr/m2 Orange</t>
  </si>
  <si>
    <t>Concorde Brief Card A4 160 gr/m2 Putih</t>
  </si>
  <si>
    <t>Concorde Brief Card A4 160 gr/m2 Hijau</t>
  </si>
  <si>
    <t>Concorde Brief Card A4 160 gr/m2 Biru</t>
  </si>
  <si>
    <t>Concorde Brief Card A4 160 gr/m2 Merah/Pink</t>
  </si>
  <si>
    <t>Concorde Brief Card A4 160 gr/m2 Kuning</t>
  </si>
  <si>
    <t>Concorde Brief Card A4 160 gr/m2 Orange</t>
  </si>
  <si>
    <t>Concorde Brief Card A4 160 gr/m2 Silver</t>
  </si>
  <si>
    <t>Concorde Brief Card A4 90 gr/m2 Putih</t>
  </si>
  <si>
    <t>Concorde Brief Card A4 90 gr/m2 Hijau</t>
  </si>
  <si>
    <t>Concorde Brief Card A4 90 gr/m2 Biru</t>
  </si>
  <si>
    <t>Concorde Brief Card A4 90 gr/m2 Merah/Pink</t>
  </si>
  <si>
    <t>Concorde Brief Card A4 90 gr/m2 Kuning</t>
  </si>
  <si>
    <t>Concorde Brief Card A4 220 gr/m2 Silver</t>
  </si>
  <si>
    <t>Januari</t>
  </si>
  <si>
    <t>Maret</t>
  </si>
  <si>
    <t>April</t>
  </si>
  <si>
    <t>Juni</t>
  </si>
  <si>
    <t>Agustus</t>
  </si>
  <si>
    <t>Oktober</t>
  </si>
  <si>
    <t>Desember</t>
  </si>
  <si>
    <t>awal bulan</t>
  </si>
  <si>
    <t>akhir bulan</t>
  </si>
  <si>
    <t>Tanggal Keluar</t>
  </si>
  <si>
    <t>Bundo</t>
  </si>
  <si>
    <t>Permintaan</t>
  </si>
  <si>
    <t>Mba Della</t>
  </si>
  <si>
    <t>Mas Arief</t>
  </si>
  <si>
    <t>Mba Rieza</t>
  </si>
  <si>
    <t>PMU</t>
  </si>
  <si>
    <t>Yanfaskes</t>
  </si>
  <si>
    <t>Sina</t>
  </si>
  <si>
    <t>Adit OB</t>
  </si>
  <si>
    <t>Mba Inna</t>
  </si>
  <si>
    <t>Mba Gustin</t>
  </si>
  <si>
    <t>Pengadaan Barang</t>
  </si>
  <si>
    <t>Satuan</t>
  </si>
  <si>
    <t>Yanser</t>
  </si>
  <si>
    <t>Kepser</t>
  </si>
  <si>
    <t>SDMUK</t>
  </si>
  <si>
    <t>PKP</t>
  </si>
  <si>
    <t>Mba Sinta</t>
  </si>
  <si>
    <t>R&amp;R Stopmap Folio</t>
  </si>
  <si>
    <t>Mba Gea</t>
  </si>
  <si>
    <t>Mba Ghiki</t>
  </si>
  <si>
    <t>Mas Sandy</t>
  </si>
  <si>
    <t>Februari 2025</t>
  </si>
  <si>
    <t>Mei 2025</t>
  </si>
  <si>
    <t>STOK OPNAME ALAT TULIS KANTOR TAHUN 2025</t>
  </si>
  <si>
    <t>Mba gea</t>
  </si>
  <si>
    <t>Mba Sabrina</t>
  </si>
  <si>
    <t>Mba Zulfa</t>
  </si>
  <si>
    <t>Mas Adit OB</t>
  </si>
  <si>
    <t>Mba Vina</t>
  </si>
  <si>
    <t>Mba Upi</t>
  </si>
  <si>
    <t>Mas Made</t>
  </si>
  <si>
    <t>Mba dian</t>
  </si>
  <si>
    <t>Mas iyan</t>
  </si>
  <si>
    <t>sdmuk</t>
  </si>
  <si>
    <t>SMDUK</t>
  </si>
  <si>
    <t>Mba Dian</t>
  </si>
  <si>
    <t>Driver</t>
  </si>
  <si>
    <t>Mba Delia</t>
  </si>
  <si>
    <t>Amplop Putih Jendela BPJS (1 Dus isi 100 Pcs)</t>
  </si>
  <si>
    <t>Amplop Putih Jendela BPJS (1 Pack isi 100 Pcs)</t>
  </si>
  <si>
    <t>sept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</si>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</sst>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_);_(* \(#,##0\);_(* &quot;-&quot;_);_(@_)"/>
    <numFmt numFmtId="165" formatCode="_-[$Rp-421]* #,##0_-;\-[$Rp-421]* #,##0_-;_-[$Rp-421]* &quot;-&quot;??_-;_-@_-"/>
    <numFmt numFmtId="166" formatCode="_-&quot;Rp&quot;* #,##0_-;\-&quot;Rp&quot;* #,##0_-;_-&quot;Rp&quot;* &quot;-&quot;??_-;_-@_-"/>
    <numFmt numFmtId="167" formatCode="dd\ mmm\ yyyy"/>
    <numFmt numFmtId="168" formatCode="[$-13809]d\ mmm\ yyyy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6">
    <xf numFmtId="0" fontId="0" fillId="0" borderId="0" xfId="0"/>
    <xf numFmtId="0" fontId="3" fillId="0" borderId="0" xfId="0" applyFont="1"/>
    <xf numFmtId="164" fontId="3" fillId="0" borderId="0" xfId="1" applyFont="1" applyFill="1" applyAlignment="1">
      <alignment horizontal="center" vertical="center"/>
    </xf>
    <xf numFmtId="0" fontId="3" fillId="0" borderId="1" xfId="0" applyFont="1" applyBorder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3" fillId="3" borderId="0" xfId="0" applyFont="1" applyFill="1"/>
    <xf numFmtId="0" fontId="3" fillId="0" borderId="1" xfId="0" quotePrefix="1" applyFont="1" applyBorder="1" applyAlignment="1">
      <alignment horizontal="left" indent="1"/>
    </xf>
    <xf numFmtId="0" fontId="3" fillId="0" borderId="1" xfId="0" quotePrefix="1" applyFont="1" applyBorder="1" applyAlignment="1">
      <alignment vertical="top"/>
    </xf>
    <xf numFmtId="0" fontId="3" fillId="0" borderId="1" xfId="0" quotePrefix="1" applyFont="1" applyBorder="1"/>
    <xf numFmtId="165" fontId="3" fillId="0" borderId="0" xfId="0" applyNumberFormat="1" applyFont="1"/>
    <xf numFmtId="165" fontId="3" fillId="0" borderId="1" xfId="0" applyNumberFormat="1" applyFont="1" applyBorder="1"/>
    <xf numFmtId="165" fontId="4" fillId="2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left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1" fontId="3" fillId="0" borderId="1" xfId="1" applyNumberFormat="1" applyFont="1" applyFill="1" applyBorder="1" applyAlignment="1">
      <alignment horizontal="center"/>
    </xf>
    <xf numFmtId="1" fontId="3" fillId="3" borderId="1" xfId="1" applyNumberFormat="1" applyFont="1" applyFill="1" applyBorder="1" applyAlignment="1">
      <alignment horizontal="center"/>
    </xf>
    <xf numFmtId="1" fontId="6" fillId="0" borderId="1" xfId="1" applyNumberFormat="1" applyFont="1" applyFill="1" applyBorder="1" applyAlignment="1">
      <alignment horizontal="center"/>
    </xf>
    <xf numFmtId="0" fontId="3" fillId="0" borderId="1" xfId="0" quotePrefix="1" applyFont="1" applyBorder="1" applyAlignment="1">
      <alignment horizontal="center"/>
    </xf>
    <xf numFmtId="1" fontId="3" fillId="0" borderId="1" xfId="1" quotePrefix="1" applyNumberFormat="1" applyFont="1" applyFill="1" applyBorder="1" applyAlignment="1">
      <alignment horizontal="center"/>
    </xf>
    <xf numFmtId="164" fontId="3" fillId="0" borderId="1" xfId="1" applyFont="1" applyFill="1" applyBorder="1" applyAlignment="1">
      <alignment horizontal="center" vertical="center"/>
    </xf>
    <xf numFmtId="164" fontId="4" fillId="4" borderId="1" xfId="1" applyFont="1" applyFill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/>
    </xf>
    <xf numFmtId="166" fontId="5" fillId="0" borderId="1" xfId="0" applyNumberFormat="1" applyFont="1" applyBorder="1" applyAlignment="1">
      <alignment horizontal="center"/>
    </xf>
    <xf numFmtId="166" fontId="3" fillId="0" borderId="1" xfId="0" applyNumberFormat="1" applyFont="1" applyBorder="1"/>
    <xf numFmtId="1" fontId="5" fillId="0" borderId="1" xfId="0" applyNumberFormat="1" applyFont="1" applyBorder="1" applyAlignment="1">
      <alignment horizontal="center" vertical="center"/>
    </xf>
    <xf numFmtId="1" fontId="3" fillId="0" borderId="1" xfId="1" applyNumberFormat="1" applyFont="1" applyFill="1" applyBorder="1" applyAlignment="1">
      <alignment horizontal="center" vertical="center"/>
    </xf>
    <xf numFmtId="1" fontId="3" fillId="0" borderId="1" xfId="1" quotePrefix="1" applyNumberFormat="1" applyFont="1" applyFill="1" applyBorder="1" applyAlignment="1">
      <alignment horizontal="center" vertical="center"/>
    </xf>
    <xf numFmtId="1" fontId="5" fillId="0" borderId="1" xfId="0" quotePrefix="1" applyNumberFormat="1" applyFont="1" applyBorder="1" applyAlignment="1">
      <alignment horizontal="center" vertical="center"/>
    </xf>
    <xf numFmtId="1" fontId="3" fillId="3" borderId="1" xfId="1" applyNumberFormat="1" applyFont="1" applyFill="1" applyBorder="1" applyAlignment="1">
      <alignment horizontal="center" vertical="center"/>
    </xf>
    <xf numFmtId="1" fontId="6" fillId="0" borderId="1" xfId="1" applyNumberFormat="1" applyFont="1" applyFill="1" applyBorder="1" applyAlignment="1">
      <alignment horizontal="center" vertical="center"/>
    </xf>
    <xf numFmtId="0" fontId="3" fillId="0" borderId="3" xfId="0" applyFont="1" applyBorder="1"/>
    <xf numFmtId="164" fontId="3" fillId="0" borderId="3" xfId="1" applyFont="1" applyFill="1" applyBorder="1" applyAlignment="1">
      <alignment horizontal="center" vertical="center"/>
    </xf>
    <xf numFmtId="165" fontId="3" fillId="0" borderId="3" xfId="0" applyNumberFormat="1" applyFont="1" applyBorder="1"/>
    <xf numFmtId="166" fontId="3" fillId="0" borderId="3" xfId="0" applyNumberFormat="1" applyFont="1" applyBorder="1"/>
    <xf numFmtId="166" fontId="3" fillId="0" borderId="4" xfId="0" applyNumberFormat="1" applyFont="1" applyBorder="1"/>
    <xf numFmtId="166" fontId="5" fillId="0" borderId="4" xfId="0" applyNumberFormat="1" applyFont="1" applyBorder="1" applyAlignment="1">
      <alignment horizontal="center"/>
    </xf>
    <xf numFmtId="1" fontId="5" fillId="0" borderId="1" xfId="1" applyNumberFormat="1" applyFont="1" applyFill="1" applyBorder="1" applyAlignment="1">
      <alignment horizontal="center" vertical="center"/>
    </xf>
    <xf numFmtId="166" fontId="3" fillId="0" borderId="5" xfId="0" applyNumberFormat="1" applyFont="1" applyBorder="1"/>
    <xf numFmtId="0" fontId="3" fillId="0" borderId="0" xfId="0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/>
    <xf numFmtId="0" fontId="0" fillId="0" borderId="3" xfId="0" applyBorder="1"/>
    <xf numFmtId="0" fontId="0" fillId="0" borderId="5" xfId="0" applyBorder="1"/>
    <xf numFmtId="0" fontId="0" fillId="0" borderId="1" xfId="0" applyBorder="1"/>
    <xf numFmtId="167" fontId="0" fillId="0" borderId="3" xfId="0" applyNumberFormat="1" applyBorder="1"/>
    <xf numFmtId="167" fontId="0" fillId="0" borderId="1" xfId="0" applyNumberFormat="1" applyBorder="1"/>
    <xf numFmtId="0" fontId="0" fillId="0" borderId="4" xfId="0" applyBorder="1"/>
    <xf numFmtId="0" fontId="3" fillId="0" borderId="1" xfId="0" applyFont="1" applyBorder="1" applyAlignment="1">
      <alignment wrapText="1"/>
    </xf>
    <xf numFmtId="0" fontId="3" fillId="0" borderId="1" xfId="0" quotePrefix="1" applyFont="1" applyBorder="1" applyAlignment="1">
      <alignment wrapText="1"/>
    </xf>
    <xf numFmtId="0" fontId="3" fillId="6" borderId="1" xfId="0" applyFont="1" applyFill="1" applyBorder="1" applyAlignment="1">
      <alignment wrapText="1"/>
    </xf>
    <xf numFmtId="0" fontId="3" fillId="6" borderId="1" xfId="0" quotePrefix="1" applyFont="1" applyFill="1" applyBorder="1" applyAlignment="1">
      <alignment wrapText="1"/>
    </xf>
    <xf numFmtId="0" fontId="3" fillId="0" borderId="1" xfId="0" applyFont="1" applyBorder="1" applyAlignment="1">
      <alignment vertical="top" wrapText="1"/>
    </xf>
    <xf numFmtId="14" fontId="3" fillId="0" borderId="0" xfId="0" applyNumberFormat="1" applyFont="1"/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0" fontId="3" fillId="0" borderId="4" xfId="0" applyFont="1" applyBorder="1"/>
    <xf numFmtId="0" fontId="3" fillId="0" borderId="9" xfId="0" applyFont="1" applyBorder="1" applyAlignment="1">
      <alignment horizontal="center"/>
    </xf>
    <xf numFmtId="0" fontId="3" fillId="0" borderId="3" xfId="0" applyFont="1" applyBorder="1" applyAlignment="1">
      <alignment wrapText="1"/>
    </xf>
    <xf numFmtId="0" fontId="3" fillId="0" borderId="5" xfId="0" applyFont="1" applyBorder="1"/>
    <xf numFmtId="0" fontId="3" fillId="2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1" fontId="3" fillId="8" borderId="1" xfId="1" applyNumberFormat="1" applyFont="1" applyFill="1" applyBorder="1" applyAlignment="1">
      <alignment horizontal="center"/>
    </xf>
    <xf numFmtId="168" fontId="0" fillId="0" borderId="3" xfId="0" applyNumberFormat="1" applyBorder="1"/>
    <xf numFmtId="168" fontId="0" fillId="0" borderId="1" xfId="0" applyNumberFormat="1" applyBorder="1"/>
    <xf numFmtId="0" fontId="7" fillId="5" borderId="6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wrapText="1"/>
    </xf>
    <xf numFmtId="0" fontId="0" fillId="0" borderId="10" xfId="0" applyBorder="1"/>
    <xf numFmtId="0" fontId="0" fillId="0" borderId="4" xfId="0" applyBorder="1" applyAlignment="1">
      <alignment horizontal="right" vertical="center"/>
    </xf>
    <xf numFmtId="0" fontId="3" fillId="8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5" fillId="2" borderId="10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wrapText="1"/>
    </xf>
    <xf numFmtId="0" fontId="0" fillId="2" borderId="0" xfId="0" applyFill="1"/>
    <xf numFmtId="0" fontId="5" fillId="9" borderId="10" xfId="0" applyFont="1" applyFill="1" applyBorder="1" applyAlignment="1">
      <alignment horizontal="center" wrapText="1"/>
    </xf>
    <xf numFmtId="0" fontId="3" fillId="9" borderId="1" xfId="0" applyFont="1" applyFill="1" applyBorder="1" applyAlignment="1">
      <alignment wrapText="1"/>
    </xf>
    <xf numFmtId="0" fontId="3" fillId="9" borderId="1" xfId="0" applyFont="1" applyFill="1" applyBorder="1" applyAlignment="1">
      <alignment horizontal="center" vertical="center"/>
    </xf>
    <xf numFmtId="0" fontId="0" fillId="9" borderId="0" xfId="0" applyFill="1"/>
    <xf numFmtId="0" fontId="3" fillId="9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center"/>
    </xf>
    <xf numFmtId="0" fontId="3" fillId="9" borderId="1" xfId="0" quotePrefix="1" applyFont="1" applyFill="1" applyBorder="1" applyAlignment="1">
      <alignment wrapText="1"/>
    </xf>
    <xf numFmtId="0" fontId="3" fillId="2" borderId="1" xfId="0" quotePrefix="1" applyFont="1" applyFill="1" applyBorder="1" applyAlignment="1">
      <alignment wrapText="1"/>
    </xf>
    <xf numFmtId="0" fontId="0" fillId="2" borderId="0" xfId="0" applyFont="1" applyFill="1"/>
    <xf numFmtId="0" fontId="3" fillId="9" borderId="3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wrapText="1"/>
    </xf>
    <xf numFmtId="0" fontId="3" fillId="2" borderId="3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wrapText="1"/>
    </xf>
    <xf numFmtId="0" fontId="3" fillId="9" borderId="3" xfId="0" applyFont="1" applyFill="1" applyBorder="1" applyAlignment="1">
      <alignment wrapText="1"/>
    </xf>
    <xf numFmtId="0" fontId="3" fillId="9" borderId="5" xfId="0" applyFont="1" applyFill="1" applyBorder="1" applyAlignment="1">
      <alignment horizontal="center" vertical="center"/>
    </xf>
  </cellXfs>
  <cellStyles count="2">
    <cellStyle name="Comma [0]" xfId="1" builtinId="6"/>
    <cellStyle name="Normal" xfId="0" builtinId="0"/>
  </cellStyles>
  <dxfs count="40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00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8" formatCode="[$-13809]d\ mmm\ yy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dd\ mmm\ 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4A81CA-06F2-4944-85AB-45A6845E0636}" name="Table1" displayName="Table1" ref="A3:D176" totalsRowShown="0" headerRowDxfId="10" headerRowBorderDxfId="8" tableBorderDxfId="9" totalsRowBorderDxfId="7">
  <autoFilter ref="A3:D176" xr:uid="{A24A81CA-06F2-4944-85AB-45A6845E0636}">
    <filterColumn colId="0" hiddenButton="1"/>
    <filterColumn colId="1" hiddenButton="1"/>
    <filterColumn colId="2" hiddenButton="1"/>
    <filterColumn colId="3" hiddenButton="1"/>
  </autoFilter>
  <tableColumns count="4">
    <tableColumn id="1" xr3:uid="{079BB1DE-A94C-4817-8044-88CE1B65EC25}" name="No" dataDxfId="6"/>
    <tableColumn id="2" xr3:uid="{F26B9E91-9171-4A93-86EA-62D7855983A6}" name="Nama Barang" dataDxfId="5"/>
    <tableColumn id="3" xr3:uid="{64167B3B-4CD8-4E9D-ADD5-9298643A7D5D}" name="Stok Awal" dataDxfId="4"/>
    <tableColumn id="4" xr3:uid="{E6BBA860-DB8B-4232-B9E3-5F9BB2275C26}" name="Satuan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530A2D-98FB-47C1-8EEB-0F6CE9C11D1A}" name="Table2" displayName="Table2" ref="A3:D1049" totalsRowShown="0" headerRowDxfId="27" headerRowBorderDxfId="26" tableBorderDxfId="25" totalsRowBorderDxfId="24">
  <autoFilter ref="A3:D1049" xr:uid="{53530A2D-98FB-47C1-8EEB-0F6CE9C11D1A}">
    <filterColumn colId="0" hiddenButton="1"/>
    <filterColumn colId="1" hiddenButton="1"/>
    <filterColumn colId="2" hiddenButton="1"/>
    <filterColumn colId="3" hiddenButton="1"/>
  </autoFilter>
  <tableColumns count="4">
    <tableColumn id="1" xr3:uid="{2550589F-1729-4A34-95FB-C0CB94C41787}" name="No" dataDxfId="23">
      <calculatedColumnFormula>ROW()-3</calculatedColumnFormula>
    </tableColumn>
    <tableColumn id="2" xr3:uid="{A42B57D8-CA3F-4AC7-835E-7B3880422D65}" name="Tanggal Masuk" dataDxfId="22"/>
    <tableColumn id="3" xr3:uid="{50CF4736-73C7-4FEB-A023-F327F2EC5CC6}" name="Nama Barang" dataDxfId="21"/>
    <tableColumn id="4" xr3:uid="{F7E7277E-DB50-4BC7-BAF7-4D1A980DC455}" name="Jumlah" dataDxfId="2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97A67B-A751-4DCA-B775-734249C8EAF5}" name="Table3" displayName="Table3" ref="A4:E1038" totalsRowShown="0" headerRowDxfId="19" headerRowBorderDxfId="18" tableBorderDxfId="17" totalsRowBorderDxfId="16">
  <autoFilter ref="A4:E1038" xr:uid="{CA97A67B-A751-4DCA-B775-734249C8EAF5}"/>
  <sortState xmlns:xlrd2="http://schemas.microsoft.com/office/spreadsheetml/2017/richdata2" ref="A5:E1038">
    <sortCondition ref="B4:B1038"/>
  </sortState>
  <tableColumns count="5">
    <tableColumn id="1" xr3:uid="{7827B6B3-7951-4E05-9257-CABBB7EE5D0A}" name="No" dataDxfId="15">
      <calculatedColumnFormula>ROW()-4</calculatedColumnFormula>
    </tableColumn>
    <tableColumn id="2" xr3:uid="{365AFDB8-FE32-4319-A2CE-53E94B46DA08}" name="Tanggal Keluar" dataDxfId="14"/>
    <tableColumn id="3" xr3:uid="{F7D584F4-CD45-428E-A8B1-EC0FC15C7D7A}" name="Nama Barang" dataDxfId="13"/>
    <tableColumn id="4" xr3:uid="{6921F347-D44D-4A21-80E9-A93ED9806CA4}" name="Jumlah" dataDxfId="12"/>
    <tableColumn id="5" xr3:uid="{50E164B9-8B9F-4705-862D-7CA8AA9B3672}" name="Permintaan" dataDxfId="1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5F8E8B2-B418-44B8-ADC2-B7DA7F2914BF}" name="Table4" displayName="Table4" ref="A6:G178" totalsRowShown="0" headerRowDxfId="39" dataDxfId="37" headerRowBorderDxfId="38" tableBorderDxfId="36" totalsRowBorderDxfId="35">
  <autoFilter ref="A6:G178" xr:uid="{65F8E8B2-B418-44B8-ADC2-B7DA7F2914B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2149E5DF-FAE6-49C0-A0FA-C174578F57E6}" name="No" dataDxfId="34">
      <calculatedColumnFormula>ROW()-6</calculatedColumnFormula>
    </tableColumn>
    <tableColumn id="2" xr3:uid="{EEA327D1-5F39-45D4-B1F3-0A15A970A553}" name="Nama Barang" dataDxfId="33"/>
    <tableColumn id="7" xr3:uid="{9EF081AB-76C9-44E2-BB6F-296119B94D1F}" name="Satuan" dataDxfId="32"/>
    <tableColumn id="3" xr3:uid="{E0B94B64-AE72-41BC-854B-D56052FBAE62}" name="Stok Awal" dataDxfId="31">
      <calculatedColumnFormula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calculatedColumnFormula>
    </tableColumn>
    <tableColumn id="4" xr3:uid="{3F25537F-132A-4A25-BBFF-FA75FF7B3AFA}" name="Jumlah Masuk" dataDxfId="30">
      <calculatedColumnFormula>SUMIFS(Table2[Jumlah],Table2[Nama Barang],Table4[[#This Row],[Nama Barang]],Table2[Tanggal Masuk],"&gt;="&amp;'Sisa Stok Barang'!$H$4,Table2[Tanggal Masuk],"&lt;="&amp;'Sisa Stok Barang'!$I$4)</calculatedColumnFormula>
    </tableColumn>
    <tableColumn id="5" xr3:uid="{4572AFAE-7642-43CC-85AA-2DF80F3FB325}" name="Jumlah Keluar" dataDxfId="29">
      <calculatedColumnFormula>SUMIFS(Table3[Jumlah],Table3[Nama Barang],Table4[[#This Row],[Nama Barang]],Table3[Tanggal Keluar],"&gt;="&amp;'Sisa Stok Barang'!$H$4,Table3[Tanggal Keluar],"&lt;="&amp;'Sisa Stok Barang'!$I$4)</calculatedColumnFormula>
    </tableColumn>
    <tableColumn id="6" xr3:uid="{45524979-5520-46F7-93A1-EDB37B922CEC}" name="Sisa Stok" dataDxfId="28">
      <calculatedColumnFormula>Table4[[#This Row],[Stok Awal]]+Table4[[#This Row],[Jumlah Masuk]]-Table4[[#This Row],[Jumlah Keluar]]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D2C90-E744-41AF-9E1D-EFFFB3956CE9}">
  <sheetPr>
    <tabColor rgb="FF00B0F0"/>
  </sheetPr>
  <dimension ref="A2:E176"/>
  <sheetViews>
    <sheetView tabSelected="1" topLeftCell="A67" zoomScale="70" zoomScaleNormal="70" workbookViewId="0">
      <selection activeCell="F89" sqref="F89"/>
    </sheetView>
  </sheetViews>
  <sheetFormatPr defaultRowHeight="15" x14ac:dyDescent="0.25"/>
  <cols>
    <col min="2" max="2" width="60.7109375" customWidth="1"/>
    <col min="3" max="3" width="12.140625" customWidth="1"/>
    <col min="4" max="4" width="9.5703125" customWidth="1"/>
  </cols>
  <sheetData>
    <row r="2" spans="1:4" x14ac:dyDescent="0.25">
      <c r="C2" t="s">
        <v>267</v>
      </c>
    </row>
    <row r="3" spans="1:4" x14ac:dyDescent="0.25">
      <c r="A3" s="75" t="s">
        <v>166</v>
      </c>
      <c r="B3" s="76" t="s">
        <v>168</v>
      </c>
      <c r="C3" s="76" t="s">
        <v>174</v>
      </c>
      <c r="D3" s="77" t="s">
        <v>238</v>
      </c>
    </row>
    <row r="4" spans="1:4" s="92" customFormat="1" x14ac:dyDescent="0.25">
      <c r="A4" s="89">
        <v>1</v>
      </c>
      <c r="B4" s="90" t="s">
        <v>7</v>
      </c>
      <c r="C4" s="91">
        <v>2</v>
      </c>
      <c r="D4" s="91" t="s">
        <v>1</v>
      </c>
    </row>
    <row r="5" spans="1:4" s="92" customFormat="1" x14ac:dyDescent="0.25">
      <c r="A5" s="89">
        <v>2</v>
      </c>
      <c r="B5" s="90" t="s">
        <v>8</v>
      </c>
      <c r="C5" s="91">
        <v>3</v>
      </c>
      <c r="D5" s="91" t="s">
        <v>1</v>
      </c>
    </row>
    <row r="6" spans="1:4" s="92" customFormat="1" x14ac:dyDescent="0.25">
      <c r="A6" s="89">
        <v>3</v>
      </c>
      <c r="B6" s="90" t="s">
        <v>9</v>
      </c>
      <c r="C6" s="91">
        <v>5</v>
      </c>
      <c r="D6" s="91" t="s">
        <v>1</v>
      </c>
    </row>
    <row r="7" spans="1:4" s="92" customFormat="1" x14ac:dyDescent="0.25">
      <c r="A7" s="89">
        <v>4</v>
      </c>
      <c r="B7" s="90" t="s">
        <v>10</v>
      </c>
      <c r="C7" s="91">
        <v>2</v>
      </c>
      <c r="D7" s="91" t="s">
        <v>1</v>
      </c>
    </row>
    <row r="8" spans="1:4" s="92" customFormat="1" x14ac:dyDescent="0.25">
      <c r="A8" s="89">
        <v>5</v>
      </c>
      <c r="B8" s="90" t="s">
        <v>105</v>
      </c>
      <c r="C8" s="91">
        <v>6</v>
      </c>
      <c r="D8" s="93" t="s">
        <v>1</v>
      </c>
    </row>
    <row r="9" spans="1:4" s="92" customFormat="1" x14ac:dyDescent="0.25">
      <c r="A9" s="89">
        <v>6</v>
      </c>
      <c r="B9" s="90" t="s">
        <v>147</v>
      </c>
      <c r="C9" s="91">
        <v>7</v>
      </c>
      <c r="D9" s="91" t="s">
        <v>1</v>
      </c>
    </row>
    <row r="10" spans="1:4" s="92" customFormat="1" x14ac:dyDescent="0.25">
      <c r="A10" s="89">
        <v>7</v>
      </c>
      <c r="B10" s="90" t="s">
        <v>11</v>
      </c>
      <c r="C10" s="91">
        <v>3</v>
      </c>
      <c r="D10" s="91" t="s">
        <v>1</v>
      </c>
    </row>
    <row r="11" spans="1:4" s="92" customFormat="1" x14ac:dyDescent="0.25">
      <c r="A11" s="89">
        <v>8</v>
      </c>
      <c r="B11" s="90" t="s">
        <v>69</v>
      </c>
      <c r="C11" s="91">
        <v>1</v>
      </c>
      <c r="D11" s="91" t="s">
        <v>1</v>
      </c>
    </row>
    <row r="12" spans="1:4" s="92" customFormat="1" x14ac:dyDescent="0.25">
      <c r="A12" s="89">
        <v>9</v>
      </c>
      <c r="B12" s="90" t="s">
        <v>14</v>
      </c>
      <c r="C12" s="91">
        <v>30</v>
      </c>
      <c r="D12" s="91" t="s">
        <v>1</v>
      </c>
    </row>
    <row r="13" spans="1:4" s="92" customFormat="1" x14ac:dyDescent="0.25">
      <c r="A13" s="89">
        <v>10</v>
      </c>
      <c r="B13" s="90" t="s">
        <v>81</v>
      </c>
      <c r="C13" s="91">
        <v>20</v>
      </c>
      <c r="D13" s="93" t="s">
        <v>1</v>
      </c>
    </row>
    <row r="14" spans="1:4" s="92" customFormat="1" x14ac:dyDescent="0.25">
      <c r="A14" s="89">
        <v>11</v>
      </c>
      <c r="B14" s="90" t="s">
        <v>82</v>
      </c>
      <c r="C14" s="91">
        <v>60</v>
      </c>
      <c r="D14" s="93" t="s">
        <v>1</v>
      </c>
    </row>
    <row r="15" spans="1:4" s="92" customFormat="1" x14ac:dyDescent="0.25">
      <c r="A15" s="89">
        <v>12</v>
      </c>
      <c r="B15" s="90" t="s">
        <v>78</v>
      </c>
      <c r="C15" s="91">
        <v>30</v>
      </c>
      <c r="D15" s="93" t="s">
        <v>1</v>
      </c>
    </row>
    <row r="16" spans="1:4" s="92" customFormat="1" x14ac:dyDescent="0.25">
      <c r="A16" s="89">
        <v>13</v>
      </c>
      <c r="B16" s="90" t="s">
        <v>80</v>
      </c>
      <c r="C16" s="91">
        <v>30</v>
      </c>
      <c r="D16" s="93" t="s">
        <v>1</v>
      </c>
    </row>
    <row r="17" spans="1:4" s="92" customFormat="1" x14ac:dyDescent="0.25">
      <c r="A17" s="89">
        <v>14</v>
      </c>
      <c r="B17" s="94" t="s">
        <v>79</v>
      </c>
      <c r="C17" s="91">
        <v>300</v>
      </c>
      <c r="D17" s="93" t="s">
        <v>1</v>
      </c>
    </row>
    <row r="18" spans="1:4" s="92" customFormat="1" x14ac:dyDescent="0.25">
      <c r="A18" s="89">
        <v>15</v>
      </c>
      <c r="B18" s="90" t="s">
        <v>13</v>
      </c>
      <c r="C18" s="91">
        <v>150</v>
      </c>
      <c r="D18" s="91" t="s">
        <v>1</v>
      </c>
    </row>
    <row r="19" spans="1:4" s="92" customFormat="1" x14ac:dyDescent="0.25">
      <c r="A19" s="89">
        <v>16</v>
      </c>
      <c r="B19" s="90" t="s">
        <v>12</v>
      </c>
      <c r="C19" s="91">
        <v>50</v>
      </c>
      <c r="D19" s="91" t="s">
        <v>1</v>
      </c>
    </row>
    <row r="20" spans="1:4" s="92" customFormat="1" x14ac:dyDescent="0.25">
      <c r="A20" s="89">
        <v>17</v>
      </c>
      <c r="B20" s="90" t="s">
        <v>100</v>
      </c>
      <c r="C20" s="91">
        <v>30</v>
      </c>
      <c r="D20" s="93" t="s">
        <v>1</v>
      </c>
    </row>
    <row r="21" spans="1:4" s="92" customFormat="1" x14ac:dyDescent="0.25">
      <c r="A21" s="89">
        <v>18</v>
      </c>
      <c r="B21" s="90" t="s">
        <v>15</v>
      </c>
      <c r="C21" s="91">
        <v>49</v>
      </c>
      <c r="D21" s="91" t="s">
        <v>1</v>
      </c>
    </row>
    <row r="22" spans="1:4" s="92" customFormat="1" x14ac:dyDescent="0.25">
      <c r="A22" s="89">
        <v>19</v>
      </c>
      <c r="B22" s="90" t="s">
        <v>16</v>
      </c>
      <c r="C22" s="91">
        <v>16</v>
      </c>
      <c r="D22" s="91" t="s">
        <v>1</v>
      </c>
    </row>
    <row r="23" spans="1:4" s="92" customFormat="1" x14ac:dyDescent="0.25">
      <c r="A23" s="89">
        <v>20</v>
      </c>
      <c r="B23" s="90" t="s">
        <v>17</v>
      </c>
      <c r="C23" s="91">
        <v>10</v>
      </c>
      <c r="D23" s="91" t="s">
        <v>1</v>
      </c>
    </row>
    <row r="24" spans="1:4" s="92" customFormat="1" x14ac:dyDescent="0.25">
      <c r="A24" s="89">
        <v>21</v>
      </c>
      <c r="B24" s="90" t="s">
        <v>18</v>
      </c>
      <c r="C24" s="91">
        <v>80</v>
      </c>
      <c r="D24" s="91" t="s">
        <v>1</v>
      </c>
    </row>
    <row r="25" spans="1:4" s="92" customFormat="1" x14ac:dyDescent="0.25">
      <c r="A25" s="89">
        <v>22</v>
      </c>
      <c r="B25" s="90" t="s">
        <v>19</v>
      </c>
      <c r="C25" s="91">
        <v>12</v>
      </c>
      <c r="D25" s="91" t="s">
        <v>1</v>
      </c>
    </row>
    <row r="26" spans="1:4" s="92" customFormat="1" x14ac:dyDescent="0.25">
      <c r="A26" s="89">
        <v>23</v>
      </c>
      <c r="B26" s="90" t="s">
        <v>110</v>
      </c>
      <c r="C26" s="91">
        <v>70</v>
      </c>
      <c r="D26" s="91" t="s">
        <v>1</v>
      </c>
    </row>
    <row r="27" spans="1:4" s="92" customFormat="1" x14ac:dyDescent="0.25">
      <c r="A27" s="89">
        <v>24</v>
      </c>
      <c r="B27" s="90" t="s">
        <v>20</v>
      </c>
      <c r="C27" s="91">
        <v>20</v>
      </c>
      <c r="D27" s="91" t="s">
        <v>1</v>
      </c>
    </row>
    <row r="28" spans="1:4" s="92" customFormat="1" x14ac:dyDescent="0.25">
      <c r="A28" s="89">
        <v>25</v>
      </c>
      <c r="B28" s="90" t="s">
        <v>84</v>
      </c>
      <c r="C28" s="91">
        <v>2</v>
      </c>
      <c r="D28" s="93" t="s">
        <v>1</v>
      </c>
    </row>
    <row r="29" spans="1:4" x14ac:dyDescent="0.25">
      <c r="A29" s="78">
        <v>26</v>
      </c>
      <c r="B29" s="56" t="s">
        <v>177</v>
      </c>
      <c r="C29" s="5">
        <v>24</v>
      </c>
      <c r="D29" s="5" t="s">
        <v>1</v>
      </c>
    </row>
    <row r="30" spans="1:4" x14ac:dyDescent="0.25">
      <c r="A30" s="78">
        <v>27</v>
      </c>
      <c r="B30" s="56" t="s">
        <v>22</v>
      </c>
      <c r="C30" s="5">
        <v>24</v>
      </c>
      <c r="D30" s="5" t="s">
        <v>1</v>
      </c>
    </row>
    <row r="31" spans="1:4" s="92" customFormat="1" x14ac:dyDescent="0.25">
      <c r="A31" s="89">
        <v>28</v>
      </c>
      <c r="B31" s="90" t="s">
        <v>23</v>
      </c>
      <c r="C31" s="91">
        <v>48</v>
      </c>
      <c r="D31" s="91" t="s">
        <v>1</v>
      </c>
    </row>
    <row r="32" spans="1:4" s="92" customFormat="1" x14ac:dyDescent="0.25">
      <c r="A32" s="89">
        <v>29</v>
      </c>
      <c r="B32" s="90" t="s">
        <v>104</v>
      </c>
      <c r="C32" s="91">
        <v>144</v>
      </c>
      <c r="D32" s="91" t="s">
        <v>1</v>
      </c>
    </row>
    <row r="33" spans="1:5" s="92" customFormat="1" x14ac:dyDescent="0.25">
      <c r="A33" s="89">
        <v>30</v>
      </c>
      <c r="B33" s="90" t="s">
        <v>24</v>
      </c>
      <c r="C33" s="91">
        <v>13</v>
      </c>
      <c r="D33" s="91" t="s">
        <v>1</v>
      </c>
    </row>
    <row r="34" spans="1:5" s="92" customFormat="1" x14ac:dyDescent="0.25">
      <c r="A34" s="89">
        <v>31</v>
      </c>
      <c r="B34" s="90" t="s">
        <v>26</v>
      </c>
      <c r="C34" s="91">
        <v>137</v>
      </c>
      <c r="D34" s="91" t="s">
        <v>1</v>
      </c>
    </row>
    <row r="35" spans="1:5" s="92" customFormat="1" x14ac:dyDescent="0.25">
      <c r="A35" s="89">
        <v>32</v>
      </c>
      <c r="B35" s="90" t="s">
        <v>27</v>
      </c>
      <c r="C35" s="91">
        <v>7</v>
      </c>
      <c r="D35" s="91" t="s">
        <v>1</v>
      </c>
    </row>
    <row r="36" spans="1:5" s="92" customFormat="1" x14ac:dyDescent="0.25">
      <c r="A36" s="89">
        <v>33</v>
      </c>
      <c r="B36" s="90" t="s">
        <v>28</v>
      </c>
      <c r="C36" s="91">
        <v>48</v>
      </c>
      <c r="D36" s="91" t="s">
        <v>0</v>
      </c>
    </row>
    <row r="37" spans="1:5" s="92" customFormat="1" x14ac:dyDescent="0.25">
      <c r="A37" s="89">
        <v>34</v>
      </c>
      <c r="B37" s="90" t="s">
        <v>29</v>
      </c>
      <c r="C37" s="91">
        <v>11</v>
      </c>
      <c r="D37" s="91" t="s">
        <v>0</v>
      </c>
    </row>
    <row r="38" spans="1:5" x14ac:dyDescent="0.25">
      <c r="A38" s="78">
        <v>35</v>
      </c>
      <c r="B38" s="56" t="s">
        <v>30</v>
      </c>
      <c r="C38" s="5">
        <v>3</v>
      </c>
      <c r="D38" s="5" t="s">
        <v>0</v>
      </c>
    </row>
    <row r="39" spans="1:5" s="92" customFormat="1" x14ac:dyDescent="0.25">
      <c r="A39" s="89">
        <v>36</v>
      </c>
      <c r="B39" s="90" t="s">
        <v>178</v>
      </c>
      <c r="C39" s="91">
        <v>7</v>
      </c>
      <c r="D39" s="91" t="s">
        <v>1</v>
      </c>
    </row>
    <row r="40" spans="1:5" s="92" customFormat="1" x14ac:dyDescent="0.25">
      <c r="A40" s="89">
        <v>37</v>
      </c>
      <c r="B40" s="90" t="s">
        <v>73</v>
      </c>
      <c r="C40" s="91">
        <v>67</v>
      </c>
      <c r="D40" s="91" t="s">
        <v>1</v>
      </c>
      <c r="E40" s="92" t="s">
        <v>268</v>
      </c>
    </row>
    <row r="41" spans="1:5" s="92" customFormat="1" x14ac:dyDescent="0.25">
      <c r="A41" s="89">
        <v>38</v>
      </c>
      <c r="B41" s="90" t="s">
        <v>32</v>
      </c>
      <c r="C41" s="91">
        <v>12</v>
      </c>
      <c r="D41" s="91" t="s">
        <v>1</v>
      </c>
    </row>
    <row r="42" spans="1:5" s="92" customFormat="1" x14ac:dyDescent="0.25">
      <c r="A42" s="89">
        <v>39</v>
      </c>
      <c r="B42" s="90" t="s">
        <v>33</v>
      </c>
      <c r="C42" s="91">
        <v>4</v>
      </c>
      <c r="D42" s="91" t="s">
        <v>1</v>
      </c>
    </row>
    <row r="43" spans="1:5" s="92" customFormat="1" x14ac:dyDescent="0.25">
      <c r="A43" s="89">
        <v>40</v>
      </c>
      <c r="B43" s="90" t="s">
        <v>34</v>
      </c>
      <c r="C43" s="91">
        <v>6</v>
      </c>
      <c r="D43" s="91" t="s">
        <v>1</v>
      </c>
    </row>
    <row r="44" spans="1:5" s="92" customFormat="1" x14ac:dyDescent="0.25">
      <c r="A44" s="89">
        <v>41</v>
      </c>
      <c r="B44" s="90" t="s">
        <v>85</v>
      </c>
      <c r="C44" s="91">
        <v>11</v>
      </c>
      <c r="D44" s="93" t="s">
        <v>1</v>
      </c>
    </row>
    <row r="45" spans="1:5" s="92" customFormat="1" x14ac:dyDescent="0.25">
      <c r="A45" s="89">
        <v>42</v>
      </c>
      <c r="B45" s="90" t="s">
        <v>89</v>
      </c>
      <c r="C45" s="91">
        <v>1</v>
      </c>
      <c r="D45" s="93" t="s">
        <v>1</v>
      </c>
    </row>
    <row r="46" spans="1:5" s="92" customFormat="1" x14ac:dyDescent="0.25">
      <c r="A46" s="89">
        <v>43</v>
      </c>
      <c r="B46" s="90" t="s">
        <v>108</v>
      </c>
      <c r="C46" s="91">
        <v>1</v>
      </c>
      <c r="D46" s="93" t="s">
        <v>1</v>
      </c>
    </row>
    <row r="47" spans="1:5" s="92" customFormat="1" x14ac:dyDescent="0.25">
      <c r="A47" s="89">
        <v>44</v>
      </c>
      <c r="B47" s="90" t="s">
        <v>86</v>
      </c>
      <c r="C47" s="91">
        <v>20</v>
      </c>
      <c r="D47" s="93" t="s">
        <v>1</v>
      </c>
    </row>
    <row r="48" spans="1:5" s="92" customFormat="1" x14ac:dyDescent="0.25">
      <c r="A48" s="89">
        <v>45</v>
      </c>
      <c r="B48" s="90" t="s">
        <v>83</v>
      </c>
      <c r="C48" s="91">
        <v>1</v>
      </c>
      <c r="D48" s="93" t="s">
        <v>1</v>
      </c>
    </row>
    <row r="49" spans="1:4" s="92" customFormat="1" x14ac:dyDescent="0.25">
      <c r="A49" s="89">
        <v>46</v>
      </c>
      <c r="B49" s="90" t="s">
        <v>111</v>
      </c>
      <c r="C49" s="91">
        <v>0</v>
      </c>
      <c r="D49" s="91" t="s">
        <v>1</v>
      </c>
    </row>
    <row r="50" spans="1:4" s="92" customFormat="1" x14ac:dyDescent="0.25">
      <c r="A50" s="89">
        <v>47</v>
      </c>
      <c r="B50" s="90" t="s">
        <v>112</v>
      </c>
      <c r="C50" s="91">
        <v>5</v>
      </c>
      <c r="D50" s="91" t="s">
        <v>1</v>
      </c>
    </row>
    <row r="51" spans="1:4" s="92" customFormat="1" x14ac:dyDescent="0.25">
      <c r="A51" s="89">
        <v>48</v>
      </c>
      <c r="B51" s="90" t="s">
        <v>113</v>
      </c>
      <c r="C51" s="91">
        <v>2</v>
      </c>
      <c r="D51" s="91" t="s">
        <v>1</v>
      </c>
    </row>
    <row r="52" spans="1:4" s="92" customFormat="1" x14ac:dyDescent="0.25">
      <c r="A52" s="89">
        <v>49</v>
      </c>
      <c r="B52" s="90" t="s">
        <v>35</v>
      </c>
      <c r="C52" s="91">
        <v>1</v>
      </c>
      <c r="D52" s="91" t="s">
        <v>1</v>
      </c>
    </row>
    <row r="53" spans="1:4" s="92" customFormat="1" x14ac:dyDescent="0.25">
      <c r="A53" s="89">
        <v>50</v>
      </c>
      <c r="B53" s="90" t="s">
        <v>70</v>
      </c>
      <c r="C53" s="91">
        <v>2</v>
      </c>
      <c r="D53" s="91" t="s">
        <v>1</v>
      </c>
    </row>
    <row r="54" spans="1:4" s="92" customFormat="1" x14ac:dyDescent="0.25">
      <c r="A54" s="89">
        <v>51</v>
      </c>
      <c r="B54" s="90" t="s">
        <v>71</v>
      </c>
      <c r="C54" s="91">
        <v>5</v>
      </c>
      <c r="D54" s="91" t="s">
        <v>1</v>
      </c>
    </row>
    <row r="55" spans="1:4" s="92" customFormat="1" x14ac:dyDescent="0.25">
      <c r="A55" s="89">
        <v>52</v>
      </c>
      <c r="B55" s="90" t="s">
        <v>72</v>
      </c>
      <c r="C55" s="91">
        <v>3</v>
      </c>
      <c r="D55" s="91" t="s">
        <v>1</v>
      </c>
    </row>
    <row r="56" spans="1:4" x14ac:dyDescent="0.25">
      <c r="A56" s="78">
        <v>53</v>
      </c>
      <c r="B56" s="56" t="s">
        <v>38</v>
      </c>
      <c r="C56" s="26" t="s">
        <v>103</v>
      </c>
      <c r="D56" s="5" t="s">
        <v>1</v>
      </c>
    </row>
    <row r="57" spans="1:4" s="92" customFormat="1" x14ac:dyDescent="0.25">
      <c r="A57" s="89">
        <v>54</v>
      </c>
      <c r="B57" s="90" t="s">
        <v>40</v>
      </c>
      <c r="C57" s="91">
        <v>0</v>
      </c>
      <c r="D57" s="91" t="s">
        <v>1</v>
      </c>
    </row>
    <row r="58" spans="1:4" s="92" customFormat="1" x14ac:dyDescent="0.25">
      <c r="A58" s="89">
        <v>55</v>
      </c>
      <c r="B58" s="90" t="s">
        <v>41</v>
      </c>
      <c r="C58" s="91">
        <v>8</v>
      </c>
      <c r="D58" s="91" t="s">
        <v>1</v>
      </c>
    </row>
    <row r="59" spans="1:4" s="92" customFormat="1" x14ac:dyDescent="0.25">
      <c r="A59" s="89">
        <v>56</v>
      </c>
      <c r="B59" s="90" t="s">
        <v>106</v>
      </c>
      <c r="C59" s="91">
        <v>40</v>
      </c>
      <c r="D59" s="93" t="s">
        <v>49</v>
      </c>
    </row>
    <row r="60" spans="1:4" s="92" customFormat="1" x14ac:dyDescent="0.25">
      <c r="A60" s="89">
        <v>57</v>
      </c>
      <c r="B60" s="90" t="s">
        <v>42</v>
      </c>
      <c r="C60" s="91">
        <v>60</v>
      </c>
      <c r="D60" s="91" t="s">
        <v>1</v>
      </c>
    </row>
    <row r="61" spans="1:4" s="88" customFormat="1" x14ac:dyDescent="0.25">
      <c r="A61" s="86">
        <v>58</v>
      </c>
      <c r="B61" s="87" t="s">
        <v>43</v>
      </c>
      <c r="C61" s="70">
        <v>40</v>
      </c>
      <c r="D61" s="70" t="s">
        <v>1</v>
      </c>
    </row>
    <row r="62" spans="1:4" s="92" customFormat="1" x14ac:dyDescent="0.25">
      <c r="A62" s="89">
        <v>59</v>
      </c>
      <c r="B62" s="90" t="s">
        <v>93</v>
      </c>
      <c r="C62" s="91">
        <v>1</v>
      </c>
      <c r="D62" s="93" t="s">
        <v>25</v>
      </c>
    </row>
    <row r="63" spans="1:4" s="92" customFormat="1" x14ac:dyDescent="0.25">
      <c r="A63" s="89">
        <v>60</v>
      </c>
      <c r="B63" s="90" t="s">
        <v>74</v>
      </c>
      <c r="C63" s="91">
        <v>4</v>
      </c>
      <c r="D63" s="91" t="s">
        <v>1</v>
      </c>
    </row>
    <row r="64" spans="1:4" s="88" customFormat="1" x14ac:dyDescent="0.25">
      <c r="A64" s="86">
        <v>61</v>
      </c>
      <c r="B64" s="87" t="s">
        <v>44</v>
      </c>
      <c r="C64" s="70">
        <v>2</v>
      </c>
      <c r="D64" s="70" t="s">
        <v>1</v>
      </c>
    </row>
    <row r="65" spans="1:4" s="88" customFormat="1" x14ac:dyDescent="0.25">
      <c r="A65" s="86">
        <v>62</v>
      </c>
      <c r="B65" s="87" t="s">
        <v>45</v>
      </c>
      <c r="C65" s="70">
        <v>4</v>
      </c>
      <c r="D65" s="70" t="s">
        <v>1</v>
      </c>
    </row>
    <row r="66" spans="1:4" s="88" customFormat="1" x14ac:dyDescent="0.25">
      <c r="A66" s="86">
        <v>63</v>
      </c>
      <c r="B66" s="87" t="s">
        <v>46</v>
      </c>
      <c r="C66" s="70">
        <v>36</v>
      </c>
      <c r="D66" s="70" t="s">
        <v>1</v>
      </c>
    </row>
    <row r="67" spans="1:4" s="88" customFormat="1" x14ac:dyDescent="0.25">
      <c r="A67" s="86">
        <v>64</v>
      </c>
      <c r="B67" s="87" t="s">
        <v>47</v>
      </c>
      <c r="C67" s="70">
        <v>36</v>
      </c>
      <c r="D67" s="70" t="s">
        <v>1</v>
      </c>
    </row>
    <row r="68" spans="1:4" s="92" customFormat="1" x14ac:dyDescent="0.25">
      <c r="A68" s="89">
        <v>65</v>
      </c>
      <c r="B68" s="90" t="s">
        <v>48</v>
      </c>
      <c r="C68" s="91">
        <v>30</v>
      </c>
      <c r="D68" s="91" t="s">
        <v>49</v>
      </c>
    </row>
    <row r="69" spans="1:4" s="92" customFormat="1" x14ac:dyDescent="0.25">
      <c r="A69" s="89">
        <v>66</v>
      </c>
      <c r="B69" s="90" t="s">
        <v>50</v>
      </c>
      <c r="C69" s="91">
        <v>47</v>
      </c>
      <c r="D69" s="91" t="s">
        <v>49</v>
      </c>
    </row>
    <row r="70" spans="1:4" s="92" customFormat="1" x14ac:dyDescent="0.25">
      <c r="A70" s="89">
        <v>67</v>
      </c>
      <c r="B70" s="90" t="s">
        <v>51</v>
      </c>
      <c r="C70" s="91">
        <v>30</v>
      </c>
      <c r="D70" s="91" t="s">
        <v>1</v>
      </c>
    </row>
    <row r="71" spans="1:4" s="92" customFormat="1" x14ac:dyDescent="0.25">
      <c r="A71" s="89">
        <v>68</v>
      </c>
      <c r="B71" s="90" t="s">
        <v>114</v>
      </c>
      <c r="C71" s="91">
        <v>10</v>
      </c>
      <c r="D71" s="91" t="s">
        <v>52</v>
      </c>
    </row>
    <row r="72" spans="1:4" s="92" customFormat="1" x14ac:dyDescent="0.25">
      <c r="A72" s="89">
        <v>69</v>
      </c>
      <c r="B72" s="90" t="s">
        <v>53</v>
      </c>
      <c r="C72" s="91">
        <v>13</v>
      </c>
      <c r="D72" s="91" t="s">
        <v>52</v>
      </c>
    </row>
    <row r="73" spans="1:4" s="92" customFormat="1" x14ac:dyDescent="0.25">
      <c r="A73" s="89">
        <v>70</v>
      </c>
      <c r="B73" s="90" t="s">
        <v>54</v>
      </c>
      <c r="C73" s="91">
        <v>46</v>
      </c>
      <c r="D73" s="91" t="s">
        <v>49</v>
      </c>
    </row>
    <row r="74" spans="1:4" s="92" customFormat="1" x14ac:dyDescent="0.25">
      <c r="A74" s="89">
        <v>71</v>
      </c>
      <c r="B74" s="90" t="s">
        <v>55</v>
      </c>
      <c r="C74" s="91">
        <v>75</v>
      </c>
      <c r="D74" s="91" t="s">
        <v>49</v>
      </c>
    </row>
    <row r="75" spans="1:4" s="92" customFormat="1" x14ac:dyDescent="0.25">
      <c r="A75" s="89">
        <v>72</v>
      </c>
      <c r="B75" s="90" t="s">
        <v>56</v>
      </c>
      <c r="C75" s="91">
        <v>36</v>
      </c>
      <c r="D75" s="91" t="s">
        <v>49</v>
      </c>
    </row>
    <row r="76" spans="1:4" s="92" customFormat="1" x14ac:dyDescent="0.25">
      <c r="A76" s="89">
        <v>73</v>
      </c>
      <c r="B76" s="90" t="s">
        <v>57</v>
      </c>
      <c r="C76" s="91">
        <v>40</v>
      </c>
      <c r="D76" s="91" t="s">
        <v>49</v>
      </c>
    </row>
    <row r="77" spans="1:4" s="92" customFormat="1" x14ac:dyDescent="0.25">
      <c r="A77" s="89">
        <v>74</v>
      </c>
      <c r="B77" s="90" t="s">
        <v>58</v>
      </c>
      <c r="C77" s="91">
        <v>315</v>
      </c>
      <c r="D77" s="91" t="s">
        <v>1</v>
      </c>
    </row>
    <row r="78" spans="1:4" s="92" customFormat="1" x14ac:dyDescent="0.25">
      <c r="A78" s="89">
        <v>75</v>
      </c>
      <c r="B78" s="90" t="s">
        <v>116</v>
      </c>
      <c r="C78" s="91">
        <v>8</v>
      </c>
      <c r="D78" s="91" t="s">
        <v>52</v>
      </c>
    </row>
    <row r="79" spans="1:4" s="92" customFormat="1" x14ac:dyDescent="0.25">
      <c r="A79" s="89">
        <v>76</v>
      </c>
      <c r="B79" s="90" t="s">
        <v>115</v>
      </c>
      <c r="C79" s="91">
        <v>5</v>
      </c>
      <c r="D79" s="91" t="s">
        <v>52</v>
      </c>
    </row>
    <row r="80" spans="1:4" s="92" customFormat="1" x14ac:dyDescent="0.25">
      <c r="A80" s="89">
        <v>77</v>
      </c>
      <c r="B80" s="90" t="s">
        <v>266</v>
      </c>
      <c r="C80" s="91">
        <v>18</v>
      </c>
      <c r="D80" s="91" t="s">
        <v>25</v>
      </c>
    </row>
    <row r="81" spans="1:4" x14ac:dyDescent="0.25">
      <c r="A81" s="78">
        <v>78</v>
      </c>
      <c r="B81" s="56" t="s">
        <v>59</v>
      </c>
      <c r="C81" s="5">
        <v>1004</v>
      </c>
      <c r="D81" s="5" t="s">
        <v>1</v>
      </c>
    </row>
    <row r="82" spans="1:4" s="92" customFormat="1" x14ac:dyDescent="0.25">
      <c r="A82" s="89">
        <v>79</v>
      </c>
      <c r="B82" s="90" t="s">
        <v>75</v>
      </c>
      <c r="C82" s="91">
        <v>288</v>
      </c>
      <c r="D82" s="91" t="s">
        <v>1</v>
      </c>
    </row>
    <row r="83" spans="1:4" s="92" customFormat="1" x14ac:dyDescent="0.25">
      <c r="A83" s="89">
        <v>80</v>
      </c>
      <c r="B83" s="90" t="s">
        <v>60</v>
      </c>
      <c r="C83" s="91">
        <v>100</v>
      </c>
      <c r="D83" s="91" t="s">
        <v>1</v>
      </c>
    </row>
    <row r="84" spans="1:4" s="92" customFormat="1" x14ac:dyDescent="0.25">
      <c r="A84" s="89">
        <v>81</v>
      </c>
      <c r="B84" s="90" t="s">
        <v>76</v>
      </c>
      <c r="C84" s="91">
        <v>8</v>
      </c>
      <c r="D84" s="91" t="s">
        <v>1</v>
      </c>
    </row>
    <row r="85" spans="1:4" s="92" customFormat="1" x14ac:dyDescent="0.25">
      <c r="A85" s="89">
        <v>82</v>
      </c>
      <c r="B85" s="90" t="s">
        <v>68</v>
      </c>
      <c r="C85" s="91">
        <v>59</v>
      </c>
      <c r="D85" s="91" t="s">
        <v>1</v>
      </c>
    </row>
    <row r="86" spans="1:4" s="92" customFormat="1" x14ac:dyDescent="0.25">
      <c r="A86" s="89">
        <v>83</v>
      </c>
      <c r="B86" s="90" t="s">
        <v>61</v>
      </c>
      <c r="C86" s="91">
        <v>1</v>
      </c>
      <c r="D86" s="91" t="s">
        <v>1</v>
      </c>
    </row>
    <row r="87" spans="1:4" s="88" customFormat="1" x14ac:dyDescent="0.25">
      <c r="A87" s="86">
        <v>84</v>
      </c>
      <c r="B87" s="87" t="s">
        <v>109</v>
      </c>
      <c r="C87" s="70">
        <v>0</v>
      </c>
      <c r="D87" s="70" t="s">
        <v>1</v>
      </c>
    </row>
    <row r="88" spans="1:4" s="92" customFormat="1" x14ac:dyDescent="0.25">
      <c r="A88" s="89">
        <v>85</v>
      </c>
      <c r="B88" s="90" t="s">
        <v>67</v>
      </c>
      <c r="C88" s="91">
        <v>1</v>
      </c>
      <c r="D88" s="91" t="s">
        <v>1</v>
      </c>
    </row>
    <row r="89" spans="1:4" x14ac:dyDescent="0.25">
      <c r="A89" s="78">
        <v>86</v>
      </c>
      <c r="B89" s="56" t="s">
        <v>179</v>
      </c>
      <c r="C89" s="5">
        <v>1</v>
      </c>
      <c r="D89" s="18" t="s">
        <v>1</v>
      </c>
    </row>
    <row r="90" spans="1:4" s="92" customFormat="1" x14ac:dyDescent="0.25">
      <c r="A90" s="89">
        <v>87</v>
      </c>
      <c r="B90" s="90" t="s">
        <v>62</v>
      </c>
      <c r="C90" s="91">
        <v>3</v>
      </c>
      <c r="D90" s="91" t="s">
        <v>1</v>
      </c>
    </row>
    <row r="91" spans="1:4" s="92" customFormat="1" x14ac:dyDescent="0.25">
      <c r="A91" s="89">
        <v>88</v>
      </c>
      <c r="B91" s="90" t="s">
        <v>118</v>
      </c>
      <c r="C91" s="91">
        <v>3</v>
      </c>
      <c r="D91" s="91" t="s">
        <v>1</v>
      </c>
    </row>
    <row r="92" spans="1:4" s="92" customFormat="1" x14ac:dyDescent="0.25">
      <c r="A92" s="89">
        <v>89</v>
      </c>
      <c r="B92" s="90" t="s">
        <v>180</v>
      </c>
      <c r="C92" s="91">
        <v>5</v>
      </c>
      <c r="D92" s="91" t="s">
        <v>1</v>
      </c>
    </row>
    <row r="93" spans="1:4" s="88" customFormat="1" x14ac:dyDescent="0.25">
      <c r="A93" s="86">
        <v>90</v>
      </c>
      <c r="B93" s="87" t="s">
        <v>77</v>
      </c>
      <c r="C93" s="70">
        <v>2</v>
      </c>
      <c r="D93" s="95" t="s">
        <v>1</v>
      </c>
    </row>
    <row r="94" spans="1:4" s="92" customFormat="1" x14ac:dyDescent="0.25">
      <c r="A94" s="89">
        <v>91</v>
      </c>
      <c r="B94" s="90" t="s">
        <v>181</v>
      </c>
      <c r="C94" s="91">
        <v>8</v>
      </c>
      <c r="D94" s="93" t="s">
        <v>1</v>
      </c>
    </row>
    <row r="95" spans="1:4" s="92" customFormat="1" x14ac:dyDescent="0.25">
      <c r="A95" s="89">
        <v>92</v>
      </c>
      <c r="B95" s="90" t="s">
        <v>182</v>
      </c>
      <c r="C95" s="91">
        <v>28</v>
      </c>
      <c r="D95" s="93" t="s">
        <v>1</v>
      </c>
    </row>
    <row r="96" spans="1:4" s="92" customFormat="1" x14ac:dyDescent="0.25">
      <c r="A96" s="89">
        <v>93</v>
      </c>
      <c r="B96" s="90" t="s">
        <v>183</v>
      </c>
      <c r="C96" s="91">
        <v>8</v>
      </c>
      <c r="D96" s="93" t="s">
        <v>1</v>
      </c>
    </row>
    <row r="97" spans="1:4" s="92" customFormat="1" x14ac:dyDescent="0.25">
      <c r="A97" s="89">
        <v>94</v>
      </c>
      <c r="B97" s="90" t="s">
        <v>184</v>
      </c>
      <c r="C97" s="91">
        <v>1</v>
      </c>
      <c r="D97" s="93" t="s">
        <v>1</v>
      </c>
    </row>
    <row r="98" spans="1:4" s="92" customFormat="1" x14ac:dyDescent="0.25">
      <c r="A98" s="89">
        <v>95</v>
      </c>
      <c r="B98" s="90" t="s">
        <v>185</v>
      </c>
      <c r="C98" s="91">
        <v>1</v>
      </c>
      <c r="D98" s="93" t="s">
        <v>1</v>
      </c>
    </row>
    <row r="99" spans="1:4" s="92" customFormat="1" x14ac:dyDescent="0.25">
      <c r="A99" s="89">
        <v>96</v>
      </c>
      <c r="B99" s="90" t="s">
        <v>186</v>
      </c>
      <c r="C99" s="91">
        <v>1</v>
      </c>
      <c r="D99" s="93" t="s">
        <v>1</v>
      </c>
    </row>
    <row r="100" spans="1:4" s="92" customFormat="1" x14ac:dyDescent="0.25">
      <c r="A100" s="89">
        <v>97</v>
      </c>
      <c r="B100" s="90" t="s">
        <v>187</v>
      </c>
      <c r="C100" s="91">
        <v>1</v>
      </c>
      <c r="D100" s="93" t="s">
        <v>1</v>
      </c>
    </row>
    <row r="101" spans="1:4" s="92" customFormat="1" x14ac:dyDescent="0.25">
      <c r="A101" s="89">
        <v>98</v>
      </c>
      <c r="B101" s="90" t="s">
        <v>188</v>
      </c>
      <c r="C101" s="91">
        <v>1</v>
      </c>
      <c r="D101" s="93" t="s">
        <v>1</v>
      </c>
    </row>
    <row r="102" spans="1:4" s="92" customFormat="1" x14ac:dyDescent="0.25">
      <c r="A102" s="89">
        <v>99</v>
      </c>
      <c r="B102" s="90" t="s">
        <v>189</v>
      </c>
      <c r="C102" s="91">
        <v>2</v>
      </c>
      <c r="D102" s="93" t="s">
        <v>1</v>
      </c>
    </row>
    <row r="103" spans="1:4" x14ac:dyDescent="0.25">
      <c r="A103" s="78">
        <v>100</v>
      </c>
      <c r="B103" s="56" t="s">
        <v>190</v>
      </c>
      <c r="C103" s="5">
        <v>3</v>
      </c>
      <c r="D103" s="18" t="s">
        <v>1</v>
      </c>
    </row>
    <row r="104" spans="1:4" x14ac:dyDescent="0.25">
      <c r="A104" s="78">
        <v>101</v>
      </c>
      <c r="B104" s="56" t="s">
        <v>191</v>
      </c>
      <c r="C104" s="5">
        <v>3</v>
      </c>
      <c r="D104" s="18" t="s">
        <v>1</v>
      </c>
    </row>
    <row r="105" spans="1:4" s="92" customFormat="1" x14ac:dyDescent="0.25">
      <c r="A105" s="89">
        <v>102</v>
      </c>
      <c r="B105" s="90" t="s">
        <v>192</v>
      </c>
      <c r="C105" s="91">
        <v>2</v>
      </c>
      <c r="D105" s="93" t="s">
        <v>1</v>
      </c>
    </row>
    <row r="106" spans="1:4" x14ac:dyDescent="0.25">
      <c r="A106" s="78">
        <v>103</v>
      </c>
      <c r="B106" s="56" t="s">
        <v>193</v>
      </c>
      <c r="C106" s="5">
        <v>3</v>
      </c>
      <c r="D106" s="18" t="s">
        <v>1</v>
      </c>
    </row>
    <row r="107" spans="1:4" x14ac:dyDescent="0.25">
      <c r="A107" s="78">
        <v>104</v>
      </c>
      <c r="B107" s="56" t="s">
        <v>194</v>
      </c>
      <c r="C107" s="5">
        <v>3</v>
      </c>
      <c r="D107" s="18" t="s">
        <v>1</v>
      </c>
    </row>
    <row r="108" spans="1:4" x14ac:dyDescent="0.25">
      <c r="A108" s="78">
        <v>105</v>
      </c>
      <c r="B108" s="56" t="s">
        <v>195</v>
      </c>
      <c r="C108" s="5">
        <v>3</v>
      </c>
      <c r="D108" s="18" t="s">
        <v>1</v>
      </c>
    </row>
    <row r="109" spans="1:4" x14ac:dyDescent="0.25">
      <c r="A109" s="78">
        <v>106</v>
      </c>
      <c r="B109" s="56" t="s">
        <v>196</v>
      </c>
      <c r="C109" s="5">
        <v>3</v>
      </c>
      <c r="D109" s="18" t="s">
        <v>1</v>
      </c>
    </row>
    <row r="110" spans="1:4" s="92" customFormat="1" x14ac:dyDescent="0.25">
      <c r="A110" s="89">
        <v>107</v>
      </c>
      <c r="B110" s="90" t="s">
        <v>101</v>
      </c>
      <c r="C110" s="91">
        <v>1</v>
      </c>
      <c r="D110" s="93" t="s">
        <v>1</v>
      </c>
    </row>
    <row r="111" spans="1:4" s="92" customFormat="1" x14ac:dyDescent="0.25">
      <c r="A111" s="89">
        <v>108</v>
      </c>
      <c r="B111" s="90" t="s">
        <v>88</v>
      </c>
      <c r="C111" s="91">
        <v>3</v>
      </c>
      <c r="D111" s="93" t="s">
        <v>1</v>
      </c>
    </row>
    <row r="112" spans="1:4" s="92" customFormat="1" x14ac:dyDescent="0.25">
      <c r="A112" s="89">
        <v>109</v>
      </c>
      <c r="B112" s="90" t="s">
        <v>90</v>
      </c>
      <c r="C112" s="91">
        <v>1</v>
      </c>
      <c r="D112" s="93" t="s">
        <v>1</v>
      </c>
    </row>
    <row r="113" spans="1:4" s="92" customFormat="1" x14ac:dyDescent="0.25">
      <c r="A113" s="89">
        <v>110</v>
      </c>
      <c r="B113" s="90" t="s">
        <v>91</v>
      </c>
      <c r="C113" s="91">
        <v>1</v>
      </c>
      <c r="D113" s="93" t="s">
        <v>1</v>
      </c>
    </row>
    <row r="114" spans="1:4" x14ac:dyDescent="0.25">
      <c r="A114" s="78">
        <v>111</v>
      </c>
      <c r="B114" s="56" t="s">
        <v>92</v>
      </c>
      <c r="C114" s="5">
        <v>1</v>
      </c>
      <c r="D114" s="18" t="s">
        <v>1</v>
      </c>
    </row>
    <row r="115" spans="1:4" s="92" customFormat="1" x14ac:dyDescent="0.25">
      <c r="A115" s="89">
        <v>112</v>
      </c>
      <c r="B115" s="90" t="s">
        <v>36</v>
      </c>
      <c r="C115" s="91">
        <v>5</v>
      </c>
      <c r="D115" s="91" t="s">
        <v>1</v>
      </c>
    </row>
    <row r="116" spans="1:4" s="92" customFormat="1" x14ac:dyDescent="0.25">
      <c r="A116" s="89">
        <v>113</v>
      </c>
      <c r="B116" s="90" t="s">
        <v>37</v>
      </c>
      <c r="C116" s="91">
        <v>8</v>
      </c>
      <c r="D116" s="91" t="s">
        <v>1</v>
      </c>
    </row>
    <row r="117" spans="1:4" s="92" customFormat="1" x14ac:dyDescent="0.25">
      <c r="A117" s="89">
        <v>114</v>
      </c>
      <c r="B117" s="90" t="s">
        <v>96</v>
      </c>
      <c r="C117" s="91">
        <v>1</v>
      </c>
      <c r="D117" s="93" t="s">
        <v>1</v>
      </c>
    </row>
    <row r="118" spans="1:4" s="92" customFormat="1" x14ac:dyDescent="0.25">
      <c r="A118" s="89">
        <v>115</v>
      </c>
      <c r="B118" s="90" t="s">
        <v>98</v>
      </c>
      <c r="C118" s="91">
        <v>4</v>
      </c>
      <c r="D118" s="93" t="s">
        <v>1</v>
      </c>
    </row>
    <row r="119" spans="1:4" x14ac:dyDescent="0.25">
      <c r="A119" s="78">
        <v>116</v>
      </c>
      <c r="B119" s="56" t="s">
        <v>99</v>
      </c>
      <c r="C119" s="5"/>
      <c r="D119" s="18" t="s">
        <v>1</v>
      </c>
    </row>
    <row r="120" spans="1:4" s="92" customFormat="1" x14ac:dyDescent="0.25">
      <c r="A120" s="89">
        <v>117</v>
      </c>
      <c r="B120" s="90" t="s">
        <v>39</v>
      </c>
      <c r="C120" s="91">
        <v>22</v>
      </c>
      <c r="D120" s="91" t="s">
        <v>1</v>
      </c>
    </row>
    <row r="121" spans="1:4" s="92" customFormat="1" x14ac:dyDescent="0.25">
      <c r="A121" s="89">
        <v>118</v>
      </c>
      <c r="B121" s="90" t="s">
        <v>94</v>
      </c>
      <c r="C121" s="91">
        <v>2</v>
      </c>
      <c r="D121" s="93" t="s">
        <v>1</v>
      </c>
    </row>
    <row r="122" spans="1:4" s="92" customFormat="1" x14ac:dyDescent="0.25">
      <c r="A122" s="89">
        <v>119</v>
      </c>
      <c r="B122" s="90" t="s">
        <v>97</v>
      </c>
      <c r="C122" s="91">
        <v>16</v>
      </c>
      <c r="D122" s="93" t="s">
        <v>1</v>
      </c>
    </row>
    <row r="123" spans="1:4" s="92" customFormat="1" x14ac:dyDescent="0.25">
      <c r="A123" s="89">
        <v>120</v>
      </c>
      <c r="B123" s="90" t="s">
        <v>95</v>
      </c>
      <c r="C123" s="91">
        <v>3</v>
      </c>
      <c r="D123" s="93" t="s">
        <v>1</v>
      </c>
    </row>
    <row r="124" spans="1:4" s="92" customFormat="1" x14ac:dyDescent="0.25">
      <c r="A124" s="89">
        <v>121</v>
      </c>
      <c r="B124" s="90" t="s">
        <v>126</v>
      </c>
      <c r="C124" s="91">
        <v>2</v>
      </c>
      <c r="D124" s="93" t="s">
        <v>1</v>
      </c>
    </row>
    <row r="125" spans="1:4" s="92" customFormat="1" x14ac:dyDescent="0.25">
      <c r="A125" s="89">
        <v>122</v>
      </c>
      <c r="B125" s="90" t="s">
        <v>102</v>
      </c>
      <c r="C125" s="91">
        <v>1</v>
      </c>
      <c r="D125" s="93" t="s">
        <v>1</v>
      </c>
    </row>
    <row r="126" spans="1:4" s="92" customFormat="1" x14ac:dyDescent="0.25">
      <c r="A126" s="89">
        <v>123</v>
      </c>
      <c r="B126" s="96" t="s">
        <v>197</v>
      </c>
      <c r="C126" s="91">
        <v>36</v>
      </c>
      <c r="D126" s="93" t="s">
        <v>25</v>
      </c>
    </row>
    <row r="127" spans="1:4" s="92" customFormat="1" x14ac:dyDescent="0.25">
      <c r="A127" s="89">
        <v>124</v>
      </c>
      <c r="B127" s="96" t="s">
        <v>198</v>
      </c>
      <c r="C127" s="91">
        <v>9</v>
      </c>
      <c r="D127" s="93" t="s">
        <v>25</v>
      </c>
    </row>
    <row r="128" spans="1:4" s="92" customFormat="1" x14ac:dyDescent="0.25">
      <c r="A128" s="89">
        <v>125</v>
      </c>
      <c r="B128" s="96" t="s">
        <v>199</v>
      </c>
      <c r="C128" s="91">
        <v>4</v>
      </c>
      <c r="D128" s="93" t="s">
        <v>25</v>
      </c>
    </row>
    <row r="129" spans="1:4" s="88" customFormat="1" x14ac:dyDescent="0.25">
      <c r="A129" s="86">
        <v>126</v>
      </c>
      <c r="B129" s="97" t="s">
        <v>200</v>
      </c>
      <c r="C129" s="70">
        <v>2</v>
      </c>
      <c r="D129" s="95" t="s">
        <v>25</v>
      </c>
    </row>
    <row r="130" spans="1:4" s="92" customFormat="1" x14ac:dyDescent="0.25">
      <c r="A130" s="89">
        <v>127</v>
      </c>
      <c r="B130" s="96" t="s">
        <v>201</v>
      </c>
      <c r="C130" s="91">
        <v>7</v>
      </c>
      <c r="D130" s="93" t="s">
        <v>25</v>
      </c>
    </row>
    <row r="131" spans="1:4" s="92" customFormat="1" x14ac:dyDescent="0.25">
      <c r="A131" s="89">
        <v>128</v>
      </c>
      <c r="B131" s="96" t="s">
        <v>202</v>
      </c>
      <c r="C131" s="91">
        <v>1</v>
      </c>
      <c r="D131" s="93" t="s">
        <v>25</v>
      </c>
    </row>
    <row r="132" spans="1:4" s="88" customFormat="1" x14ac:dyDescent="0.25">
      <c r="A132" s="86">
        <v>129</v>
      </c>
      <c r="B132" s="97" t="s">
        <v>215</v>
      </c>
      <c r="C132" s="70">
        <v>5</v>
      </c>
      <c r="D132" s="95" t="s">
        <v>25</v>
      </c>
    </row>
    <row r="133" spans="1:4" s="92" customFormat="1" x14ac:dyDescent="0.25">
      <c r="A133" s="89">
        <v>130</v>
      </c>
      <c r="B133" s="96" t="s">
        <v>203</v>
      </c>
      <c r="C133" s="91">
        <v>5</v>
      </c>
      <c r="D133" s="93" t="s">
        <v>25</v>
      </c>
    </row>
    <row r="134" spans="1:4" s="92" customFormat="1" x14ac:dyDescent="0.25">
      <c r="A134" s="89">
        <v>131</v>
      </c>
      <c r="B134" s="96" t="s">
        <v>204</v>
      </c>
      <c r="C134" s="91">
        <v>5</v>
      </c>
      <c r="D134" s="93" t="s">
        <v>25</v>
      </c>
    </row>
    <row r="135" spans="1:4" s="92" customFormat="1" x14ac:dyDescent="0.25">
      <c r="A135" s="89">
        <v>132</v>
      </c>
      <c r="B135" s="96" t="s">
        <v>205</v>
      </c>
      <c r="C135" s="91">
        <v>5</v>
      </c>
      <c r="D135" s="93" t="s">
        <v>25</v>
      </c>
    </row>
    <row r="136" spans="1:4" s="92" customFormat="1" x14ac:dyDescent="0.25">
      <c r="A136" s="89">
        <v>133</v>
      </c>
      <c r="B136" s="96" t="s">
        <v>206</v>
      </c>
      <c r="C136" s="91">
        <v>1</v>
      </c>
      <c r="D136" s="93" t="s">
        <v>25</v>
      </c>
    </row>
    <row r="137" spans="1:4" x14ac:dyDescent="0.25">
      <c r="A137" s="78">
        <v>134</v>
      </c>
      <c r="B137" s="57" t="s">
        <v>207</v>
      </c>
      <c r="C137" s="5">
        <v>8</v>
      </c>
      <c r="D137" s="18" t="s">
        <v>25</v>
      </c>
    </row>
    <row r="138" spans="1:4" x14ac:dyDescent="0.25">
      <c r="A138" s="78">
        <v>135</v>
      </c>
      <c r="B138" s="57" t="s">
        <v>208</v>
      </c>
      <c r="C138" s="5">
        <v>5</v>
      </c>
      <c r="D138" s="18" t="s">
        <v>25</v>
      </c>
    </row>
    <row r="139" spans="1:4" s="88" customFormat="1" x14ac:dyDescent="0.25">
      <c r="A139" s="86">
        <v>136</v>
      </c>
      <c r="B139" s="97" t="s">
        <v>209</v>
      </c>
      <c r="C139" s="70">
        <v>5</v>
      </c>
      <c r="D139" s="95" t="s">
        <v>25</v>
      </c>
    </row>
    <row r="140" spans="1:4" s="88" customFormat="1" x14ac:dyDescent="0.25">
      <c r="A140" s="86">
        <v>137</v>
      </c>
      <c r="B140" s="97" t="s">
        <v>210</v>
      </c>
      <c r="C140" s="70">
        <v>0</v>
      </c>
      <c r="D140" s="95" t="s">
        <v>25</v>
      </c>
    </row>
    <row r="141" spans="1:4" s="88" customFormat="1" x14ac:dyDescent="0.25">
      <c r="A141" s="86">
        <v>138</v>
      </c>
      <c r="B141" s="97" t="s">
        <v>211</v>
      </c>
      <c r="C141" s="70">
        <v>0</v>
      </c>
      <c r="D141" s="95" t="s">
        <v>25</v>
      </c>
    </row>
    <row r="142" spans="1:4" s="88" customFormat="1" x14ac:dyDescent="0.25">
      <c r="A142" s="86">
        <v>139</v>
      </c>
      <c r="B142" s="97" t="s">
        <v>212</v>
      </c>
      <c r="C142" s="70">
        <v>0</v>
      </c>
      <c r="D142" s="95" t="s">
        <v>25</v>
      </c>
    </row>
    <row r="143" spans="1:4" s="98" customFormat="1" x14ac:dyDescent="0.25">
      <c r="A143" s="86">
        <v>140</v>
      </c>
      <c r="B143" s="97" t="s">
        <v>213</v>
      </c>
      <c r="C143" s="70">
        <v>0</v>
      </c>
      <c r="D143" s="95" t="s">
        <v>25</v>
      </c>
    </row>
    <row r="144" spans="1:4" s="88" customFormat="1" x14ac:dyDescent="0.25">
      <c r="A144" s="86">
        <v>141</v>
      </c>
      <c r="B144" s="97" t="s">
        <v>214</v>
      </c>
      <c r="C144" s="70">
        <v>0</v>
      </c>
      <c r="D144" s="95" t="s">
        <v>25</v>
      </c>
    </row>
    <row r="145" spans="1:4" s="92" customFormat="1" x14ac:dyDescent="0.25">
      <c r="A145" s="89">
        <v>142</v>
      </c>
      <c r="B145" s="90" t="s">
        <v>133</v>
      </c>
      <c r="C145" s="91">
        <v>72</v>
      </c>
      <c r="D145" s="91" t="s">
        <v>1</v>
      </c>
    </row>
    <row r="146" spans="1:4" s="88" customFormat="1" ht="29.25" x14ac:dyDescent="0.25">
      <c r="A146" s="86">
        <v>143</v>
      </c>
      <c r="B146" s="87" t="s">
        <v>125</v>
      </c>
      <c r="C146" s="70">
        <v>0</v>
      </c>
      <c r="D146" s="70" t="s">
        <v>1</v>
      </c>
    </row>
    <row r="147" spans="1:4" s="88" customFormat="1" x14ac:dyDescent="0.25">
      <c r="A147" s="86">
        <v>144</v>
      </c>
      <c r="B147" s="87" t="s">
        <v>127</v>
      </c>
      <c r="C147" s="70">
        <v>3</v>
      </c>
      <c r="D147" s="70" t="s">
        <v>1</v>
      </c>
    </row>
    <row r="148" spans="1:4" s="88" customFormat="1" x14ac:dyDescent="0.25">
      <c r="A148" s="86">
        <v>145</v>
      </c>
      <c r="B148" s="87" t="s">
        <v>128</v>
      </c>
      <c r="C148" s="70">
        <v>3</v>
      </c>
      <c r="D148" s="70" t="s">
        <v>1</v>
      </c>
    </row>
    <row r="149" spans="1:4" s="88" customFormat="1" x14ac:dyDescent="0.25">
      <c r="A149" s="86">
        <v>146</v>
      </c>
      <c r="B149" s="87" t="s">
        <v>129</v>
      </c>
      <c r="C149" s="70">
        <v>4</v>
      </c>
      <c r="D149" s="70" t="s">
        <v>1</v>
      </c>
    </row>
    <row r="150" spans="1:4" s="88" customFormat="1" x14ac:dyDescent="0.25">
      <c r="A150" s="86">
        <v>147</v>
      </c>
      <c r="B150" s="87" t="s">
        <v>130</v>
      </c>
      <c r="C150" s="70">
        <v>4</v>
      </c>
      <c r="D150" s="70" t="s">
        <v>1</v>
      </c>
    </row>
    <row r="151" spans="1:4" s="92" customFormat="1" x14ac:dyDescent="0.25">
      <c r="A151" s="89">
        <v>148</v>
      </c>
      <c r="B151" s="90" t="s">
        <v>131</v>
      </c>
      <c r="C151" s="91">
        <v>1</v>
      </c>
      <c r="D151" s="91" t="s">
        <v>1</v>
      </c>
    </row>
    <row r="152" spans="1:4" x14ac:dyDescent="0.25">
      <c r="A152" s="78">
        <v>149</v>
      </c>
      <c r="B152" s="56" t="s">
        <v>132</v>
      </c>
      <c r="C152" s="5">
        <v>6</v>
      </c>
      <c r="D152" s="27" t="s">
        <v>1</v>
      </c>
    </row>
    <row r="153" spans="1:4" s="92" customFormat="1" x14ac:dyDescent="0.25">
      <c r="A153" s="89">
        <v>150</v>
      </c>
      <c r="B153" s="90" t="s">
        <v>110</v>
      </c>
      <c r="C153" s="91">
        <v>107</v>
      </c>
      <c r="D153" s="91" t="s">
        <v>1</v>
      </c>
    </row>
    <row r="154" spans="1:4" s="92" customFormat="1" x14ac:dyDescent="0.25">
      <c r="A154" s="89">
        <v>151</v>
      </c>
      <c r="B154" s="90" t="s">
        <v>135</v>
      </c>
      <c r="C154" s="91">
        <v>10</v>
      </c>
      <c r="D154" s="91" t="s">
        <v>1</v>
      </c>
    </row>
    <row r="155" spans="1:4" s="88" customFormat="1" x14ac:dyDescent="0.25">
      <c r="A155" s="86">
        <v>152</v>
      </c>
      <c r="B155" s="87" t="s">
        <v>136</v>
      </c>
      <c r="C155" s="70">
        <v>51</v>
      </c>
      <c r="D155" s="70" t="s">
        <v>1</v>
      </c>
    </row>
    <row r="156" spans="1:4" s="92" customFormat="1" x14ac:dyDescent="0.25">
      <c r="A156" s="89">
        <v>153</v>
      </c>
      <c r="B156" s="90" t="s">
        <v>137</v>
      </c>
      <c r="C156" s="91">
        <v>69</v>
      </c>
      <c r="D156" s="91" t="s">
        <v>1</v>
      </c>
    </row>
    <row r="157" spans="1:4" s="92" customFormat="1" x14ac:dyDescent="0.25">
      <c r="A157" s="89">
        <v>154</v>
      </c>
      <c r="B157" s="90" t="s">
        <v>138</v>
      </c>
      <c r="C157" s="91">
        <v>5</v>
      </c>
      <c r="D157" s="91" t="s">
        <v>1</v>
      </c>
    </row>
    <row r="158" spans="1:4" s="88" customFormat="1" x14ac:dyDescent="0.25">
      <c r="A158" s="86">
        <v>155</v>
      </c>
      <c r="B158" s="87" t="s">
        <v>139</v>
      </c>
      <c r="C158" s="70">
        <v>5</v>
      </c>
      <c r="D158" s="70" t="s">
        <v>1</v>
      </c>
    </row>
    <row r="159" spans="1:4" s="92" customFormat="1" x14ac:dyDescent="0.25">
      <c r="A159" s="89">
        <v>156</v>
      </c>
      <c r="B159" s="90" t="s">
        <v>140</v>
      </c>
      <c r="C159" s="91">
        <v>1</v>
      </c>
      <c r="D159" s="91" t="s">
        <v>1</v>
      </c>
    </row>
    <row r="160" spans="1:4" s="92" customFormat="1" x14ac:dyDescent="0.25">
      <c r="A160" s="89">
        <v>157</v>
      </c>
      <c r="B160" s="90" t="s">
        <v>141</v>
      </c>
      <c r="C160" s="91">
        <v>3</v>
      </c>
      <c r="D160" s="91" t="s">
        <v>1</v>
      </c>
    </row>
    <row r="161" spans="1:4" s="92" customFormat="1" x14ac:dyDescent="0.25">
      <c r="A161" s="89">
        <v>158</v>
      </c>
      <c r="B161" s="90" t="s">
        <v>142</v>
      </c>
      <c r="C161" s="91">
        <v>15</v>
      </c>
      <c r="D161" s="91" t="s">
        <v>1</v>
      </c>
    </row>
    <row r="162" spans="1:4" s="92" customFormat="1" x14ac:dyDescent="0.25">
      <c r="A162" s="89">
        <v>159</v>
      </c>
      <c r="B162" s="90" t="s">
        <v>143</v>
      </c>
      <c r="C162" s="91">
        <v>7</v>
      </c>
      <c r="D162" s="99" t="s">
        <v>1</v>
      </c>
    </row>
    <row r="163" spans="1:4" s="92" customFormat="1" x14ac:dyDescent="0.25">
      <c r="A163" s="89">
        <v>160</v>
      </c>
      <c r="B163" s="90" t="s">
        <v>146</v>
      </c>
      <c r="C163" s="91">
        <v>12</v>
      </c>
      <c r="D163" s="91" t="s">
        <v>1</v>
      </c>
    </row>
    <row r="164" spans="1:4" s="92" customFormat="1" x14ac:dyDescent="0.25">
      <c r="A164" s="89">
        <v>161</v>
      </c>
      <c r="B164" s="90" t="s">
        <v>148</v>
      </c>
      <c r="C164" s="91">
        <v>5</v>
      </c>
      <c r="D164" s="91" t="s">
        <v>151</v>
      </c>
    </row>
    <row r="165" spans="1:4" s="88" customFormat="1" x14ac:dyDescent="0.25">
      <c r="A165" s="86">
        <v>162</v>
      </c>
      <c r="B165" s="87" t="s">
        <v>149</v>
      </c>
      <c r="C165" s="70">
        <v>20</v>
      </c>
      <c r="D165" s="70" t="s">
        <v>1</v>
      </c>
    </row>
    <row r="166" spans="1:4" s="92" customFormat="1" x14ac:dyDescent="0.25">
      <c r="A166" s="89">
        <v>163</v>
      </c>
      <c r="B166" s="90" t="s">
        <v>150</v>
      </c>
      <c r="C166" s="91">
        <v>4</v>
      </c>
      <c r="D166" s="91" t="s">
        <v>1</v>
      </c>
    </row>
    <row r="167" spans="1:4" s="92" customFormat="1" x14ac:dyDescent="0.25">
      <c r="A167" s="89">
        <v>164</v>
      </c>
      <c r="B167" s="90" t="s">
        <v>153</v>
      </c>
      <c r="C167" s="91">
        <v>3</v>
      </c>
      <c r="D167" s="91" t="s">
        <v>1</v>
      </c>
    </row>
    <row r="168" spans="1:4" s="92" customFormat="1" x14ac:dyDescent="0.25">
      <c r="A168" s="89">
        <v>165</v>
      </c>
      <c r="B168" s="90" t="s">
        <v>155</v>
      </c>
      <c r="C168" s="91">
        <v>12</v>
      </c>
      <c r="D168" s="93" t="s">
        <v>1</v>
      </c>
    </row>
    <row r="169" spans="1:4" s="92" customFormat="1" x14ac:dyDescent="0.25">
      <c r="A169" s="89">
        <v>166</v>
      </c>
      <c r="B169" s="90" t="s">
        <v>156</v>
      </c>
      <c r="C169" s="91">
        <v>1</v>
      </c>
      <c r="D169" s="93" t="s">
        <v>1</v>
      </c>
    </row>
    <row r="170" spans="1:4" s="92" customFormat="1" x14ac:dyDescent="0.25">
      <c r="A170" s="89">
        <v>167</v>
      </c>
      <c r="B170" s="90" t="s">
        <v>157</v>
      </c>
      <c r="C170" s="91">
        <v>3</v>
      </c>
      <c r="D170" s="93" t="s">
        <v>1</v>
      </c>
    </row>
    <row r="171" spans="1:4" s="88" customFormat="1" x14ac:dyDescent="0.25">
      <c r="A171" s="86">
        <v>168</v>
      </c>
      <c r="B171" s="87" t="s">
        <v>158</v>
      </c>
      <c r="C171" s="70">
        <v>4</v>
      </c>
      <c r="D171" s="95" t="s">
        <v>1</v>
      </c>
    </row>
    <row r="172" spans="1:4" s="92" customFormat="1" x14ac:dyDescent="0.25">
      <c r="A172" s="89">
        <v>169</v>
      </c>
      <c r="B172" s="90" t="s">
        <v>159</v>
      </c>
      <c r="C172" s="91">
        <v>3</v>
      </c>
      <c r="D172" s="93" t="s">
        <v>1</v>
      </c>
    </row>
    <row r="173" spans="1:4" s="92" customFormat="1" x14ac:dyDescent="0.25">
      <c r="A173" s="89">
        <v>170</v>
      </c>
      <c r="B173" s="90" t="s">
        <v>160</v>
      </c>
      <c r="C173" s="91">
        <v>2</v>
      </c>
      <c r="D173" s="93" t="s">
        <v>1</v>
      </c>
    </row>
    <row r="174" spans="1:4" s="92" customFormat="1" x14ac:dyDescent="0.25">
      <c r="A174" s="89">
        <v>171</v>
      </c>
      <c r="B174" s="90" t="s">
        <v>161</v>
      </c>
      <c r="C174" s="91">
        <v>4</v>
      </c>
      <c r="D174" s="93" t="s">
        <v>1</v>
      </c>
    </row>
    <row r="175" spans="1:4" s="88" customFormat="1" x14ac:dyDescent="0.25">
      <c r="A175" s="100">
        <v>172</v>
      </c>
      <c r="B175" s="101" t="s">
        <v>162</v>
      </c>
      <c r="C175" s="102">
        <v>5</v>
      </c>
      <c r="D175" s="95" t="s">
        <v>1</v>
      </c>
    </row>
    <row r="176" spans="1:4" s="92" customFormat="1" x14ac:dyDescent="0.25">
      <c r="A176" s="103">
        <v>173</v>
      </c>
      <c r="B176" s="104" t="s">
        <v>244</v>
      </c>
      <c r="C176" s="99">
        <v>200</v>
      </c>
      <c r="D176" s="105" t="s">
        <v>1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83004-8BAD-41E5-80DA-08B226F43B53}">
  <sheetPr>
    <tabColor rgb="FF00B050"/>
  </sheetPr>
  <dimension ref="A1:D1049"/>
  <sheetViews>
    <sheetView topLeftCell="A29" zoomScale="70" zoomScaleNormal="70" workbookViewId="0">
      <selection activeCell="D44" sqref="D44"/>
    </sheetView>
  </sheetViews>
  <sheetFormatPr defaultRowHeight="15" x14ac:dyDescent="0.25"/>
  <cols>
    <col min="2" max="2" width="16.5703125" customWidth="1"/>
    <col min="3" max="3" width="54.85546875" customWidth="1"/>
    <col min="4" max="4" width="13.5703125" customWidth="1"/>
  </cols>
  <sheetData>
    <row r="1" spans="1:4" x14ac:dyDescent="0.25">
      <c r="A1" s="82" t="s">
        <v>237</v>
      </c>
      <c r="B1" s="82"/>
      <c r="C1" s="82"/>
      <c r="D1" s="82"/>
    </row>
    <row r="3" spans="1:4" x14ac:dyDescent="0.25">
      <c r="A3" s="46" t="s">
        <v>166</v>
      </c>
      <c r="B3" s="47" t="s">
        <v>167</v>
      </c>
      <c r="C3" s="47" t="s">
        <v>168</v>
      </c>
      <c r="D3" s="48" t="s">
        <v>169</v>
      </c>
    </row>
    <row r="4" spans="1:4" x14ac:dyDescent="0.25">
      <c r="A4" s="49">
        <f t="shared" ref="A4:A67" si="0">ROW()-3</f>
        <v>1</v>
      </c>
      <c r="B4" s="53">
        <v>46048</v>
      </c>
      <c r="C4" s="50" t="s">
        <v>9</v>
      </c>
      <c r="D4" s="51">
        <v>10</v>
      </c>
    </row>
    <row r="5" spans="1:4" x14ac:dyDescent="0.25">
      <c r="A5" s="49">
        <f t="shared" si="0"/>
        <v>2</v>
      </c>
      <c r="B5" s="53">
        <v>46048</v>
      </c>
      <c r="C5" s="50" t="s">
        <v>10</v>
      </c>
      <c r="D5" s="51">
        <v>10</v>
      </c>
    </row>
    <row r="6" spans="1:4" x14ac:dyDescent="0.25">
      <c r="A6" s="49">
        <f t="shared" si="0"/>
        <v>3</v>
      </c>
      <c r="B6" s="53">
        <v>46048</v>
      </c>
      <c r="C6" s="50" t="s">
        <v>105</v>
      </c>
      <c r="D6" s="51">
        <v>10</v>
      </c>
    </row>
    <row r="7" spans="1:4" x14ac:dyDescent="0.25">
      <c r="A7" s="49">
        <f t="shared" si="0"/>
        <v>4</v>
      </c>
      <c r="B7" s="53">
        <v>46048</v>
      </c>
      <c r="C7" s="50" t="s">
        <v>147</v>
      </c>
      <c r="D7" s="51">
        <v>10</v>
      </c>
    </row>
    <row r="8" spans="1:4" x14ac:dyDescent="0.25">
      <c r="A8" s="49">
        <f t="shared" si="0"/>
        <v>5</v>
      </c>
      <c r="B8" s="53">
        <v>46048</v>
      </c>
      <c r="C8" s="50" t="s">
        <v>11</v>
      </c>
      <c r="D8" s="51">
        <v>5</v>
      </c>
    </row>
    <row r="9" spans="1:4" x14ac:dyDescent="0.25">
      <c r="A9" s="49">
        <f t="shared" si="0"/>
        <v>6</v>
      </c>
      <c r="B9" s="53">
        <v>46048</v>
      </c>
      <c r="C9" s="50" t="s">
        <v>69</v>
      </c>
      <c r="D9" s="51">
        <v>10</v>
      </c>
    </row>
    <row r="10" spans="1:4" x14ac:dyDescent="0.25">
      <c r="A10" s="49">
        <f t="shared" si="0"/>
        <v>7</v>
      </c>
      <c r="B10" s="53">
        <v>46048</v>
      </c>
      <c r="C10" s="50" t="s">
        <v>14</v>
      </c>
      <c r="D10" s="51">
        <v>10</v>
      </c>
    </row>
    <row r="11" spans="1:4" x14ac:dyDescent="0.25">
      <c r="A11" s="49">
        <f t="shared" si="0"/>
        <v>8</v>
      </c>
      <c r="B11" s="53">
        <v>46048</v>
      </c>
      <c r="C11" s="50" t="s">
        <v>81</v>
      </c>
      <c r="D11" s="51">
        <v>10</v>
      </c>
    </row>
    <row r="12" spans="1:4" x14ac:dyDescent="0.25">
      <c r="A12" s="49">
        <f t="shared" si="0"/>
        <v>9</v>
      </c>
      <c r="B12" s="53">
        <v>46048</v>
      </c>
      <c r="C12" s="50" t="s">
        <v>78</v>
      </c>
      <c r="D12" s="51">
        <v>20</v>
      </c>
    </row>
    <row r="13" spans="1:4" x14ac:dyDescent="0.25">
      <c r="A13" s="49">
        <f t="shared" si="0"/>
        <v>10</v>
      </c>
      <c r="B13" s="53">
        <v>46048</v>
      </c>
      <c r="C13" s="52" t="s">
        <v>100</v>
      </c>
      <c r="D13" s="55">
        <v>20</v>
      </c>
    </row>
    <row r="14" spans="1:4" x14ac:dyDescent="0.25">
      <c r="A14" s="49">
        <f t="shared" si="0"/>
        <v>11</v>
      </c>
      <c r="B14" s="53">
        <v>46048</v>
      </c>
      <c r="C14" s="52" t="s">
        <v>17</v>
      </c>
      <c r="D14" s="55">
        <v>12</v>
      </c>
    </row>
    <row r="15" spans="1:4" x14ac:dyDescent="0.25">
      <c r="A15" s="49">
        <f t="shared" si="0"/>
        <v>12</v>
      </c>
      <c r="B15" s="53">
        <v>46048</v>
      </c>
      <c r="C15" s="52" t="s">
        <v>177</v>
      </c>
      <c r="D15" s="55">
        <v>60</v>
      </c>
    </row>
    <row r="16" spans="1:4" x14ac:dyDescent="0.25">
      <c r="A16" s="49">
        <f t="shared" si="0"/>
        <v>13</v>
      </c>
      <c r="B16" s="53">
        <v>46048</v>
      </c>
      <c r="C16" s="52" t="s">
        <v>104</v>
      </c>
      <c r="D16" s="55">
        <v>2</v>
      </c>
    </row>
    <row r="17" spans="1:4" x14ac:dyDescent="0.25">
      <c r="A17" s="49">
        <f t="shared" si="0"/>
        <v>14</v>
      </c>
      <c r="B17" s="53">
        <v>46048</v>
      </c>
      <c r="C17" s="52" t="s">
        <v>27</v>
      </c>
      <c r="D17" s="55">
        <v>24</v>
      </c>
    </row>
    <row r="18" spans="1:4" x14ac:dyDescent="0.25">
      <c r="A18" s="49">
        <f t="shared" si="0"/>
        <v>15</v>
      </c>
      <c r="B18" s="53">
        <v>46048</v>
      </c>
      <c r="C18" s="52" t="s">
        <v>28</v>
      </c>
      <c r="D18" s="55">
        <v>5</v>
      </c>
    </row>
    <row r="19" spans="1:4" x14ac:dyDescent="0.25">
      <c r="A19" s="49">
        <f t="shared" si="0"/>
        <v>16</v>
      </c>
      <c r="B19" s="53">
        <v>46048</v>
      </c>
      <c r="C19" s="52" t="s">
        <v>73</v>
      </c>
      <c r="D19" s="55">
        <v>5</v>
      </c>
    </row>
    <row r="20" spans="1:4" x14ac:dyDescent="0.25">
      <c r="A20" s="49">
        <f t="shared" si="0"/>
        <v>17</v>
      </c>
      <c r="B20" s="53">
        <v>46048</v>
      </c>
      <c r="C20" s="52" t="s">
        <v>112</v>
      </c>
      <c r="D20" s="55">
        <v>5</v>
      </c>
    </row>
    <row r="21" spans="1:4" x14ac:dyDescent="0.25">
      <c r="A21" s="49">
        <f t="shared" si="0"/>
        <v>18</v>
      </c>
      <c r="B21" s="53">
        <v>46048</v>
      </c>
      <c r="C21" s="52" t="s">
        <v>113</v>
      </c>
      <c r="D21" s="55">
        <v>1</v>
      </c>
    </row>
    <row r="22" spans="1:4" x14ac:dyDescent="0.25">
      <c r="A22" s="49">
        <f t="shared" si="0"/>
        <v>19</v>
      </c>
      <c r="B22" s="53">
        <v>46048</v>
      </c>
      <c r="C22" s="52" t="s">
        <v>35</v>
      </c>
      <c r="D22" s="55">
        <v>3</v>
      </c>
    </row>
    <row r="23" spans="1:4" x14ac:dyDescent="0.25">
      <c r="A23" s="49">
        <f t="shared" si="0"/>
        <v>20</v>
      </c>
      <c r="B23" s="53">
        <v>46048</v>
      </c>
      <c r="C23" s="52" t="s">
        <v>106</v>
      </c>
      <c r="D23" s="55">
        <v>20</v>
      </c>
    </row>
    <row r="24" spans="1:4" x14ac:dyDescent="0.25">
      <c r="A24" s="49">
        <f t="shared" si="0"/>
        <v>21</v>
      </c>
      <c r="B24" s="53">
        <v>46048</v>
      </c>
      <c r="C24" s="52" t="s">
        <v>74</v>
      </c>
      <c r="D24" s="55">
        <v>6</v>
      </c>
    </row>
    <row r="25" spans="1:4" x14ac:dyDescent="0.25">
      <c r="A25" s="49">
        <f t="shared" si="0"/>
        <v>22</v>
      </c>
      <c r="B25" s="53">
        <v>46048</v>
      </c>
      <c r="C25" s="52" t="s">
        <v>109</v>
      </c>
      <c r="D25" s="55">
        <v>3</v>
      </c>
    </row>
    <row r="26" spans="1:4" x14ac:dyDescent="0.25">
      <c r="A26" s="49">
        <f t="shared" si="0"/>
        <v>23</v>
      </c>
      <c r="B26" s="53">
        <v>46048</v>
      </c>
      <c r="C26" s="52" t="s">
        <v>180</v>
      </c>
      <c r="D26" s="55">
        <v>2</v>
      </c>
    </row>
    <row r="27" spans="1:4" x14ac:dyDescent="0.25">
      <c r="A27" s="49">
        <f t="shared" si="0"/>
        <v>24</v>
      </c>
      <c r="B27" s="53">
        <v>46048</v>
      </c>
      <c r="C27" s="52" t="s">
        <v>39</v>
      </c>
      <c r="D27" s="55">
        <v>2</v>
      </c>
    </row>
    <row r="28" spans="1:4" x14ac:dyDescent="0.25">
      <c r="A28" s="49">
        <f t="shared" si="0"/>
        <v>25</v>
      </c>
      <c r="B28" s="53">
        <v>46048</v>
      </c>
      <c r="C28" s="52" t="s">
        <v>210</v>
      </c>
      <c r="D28" s="55">
        <v>100</v>
      </c>
    </row>
    <row r="29" spans="1:4" x14ac:dyDescent="0.25">
      <c r="A29" s="49">
        <f t="shared" si="0"/>
        <v>26</v>
      </c>
      <c r="B29" s="53">
        <v>46114</v>
      </c>
      <c r="C29" s="52" t="s">
        <v>15</v>
      </c>
      <c r="D29" s="55">
        <v>40</v>
      </c>
    </row>
    <row r="30" spans="1:4" x14ac:dyDescent="0.25">
      <c r="A30" s="49">
        <f t="shared" si="0"/>
        <v>27</v>
      </c>
      <c r="B30" s="53">
        <v>46114</v>
      </c>
      <c r="C30" s="52" t="s">
        <v>28</v>
      </c>
      <c r="D30" s="55">
        <v>40</v>
      </c>
    </row>
    <row r="31" spans="1:4" x14ac:dyDescent="0.25">
      <c r="A31" s="49">
        <f t="shared" si="0"/>
        <v>28</v>
      </c>
      <c r="B31" s="53">
        <v>46114</v>
      </c>
      <c r="C31" s="52" t="s">
        <v>50</v>
      </c>
      <c r="D31" s="55">
        <v>60</v>
      </c>
    </row>
    <row r="32" spans="1:4" x14ac:dyDescent="0.25">
      <c r="A32" s="49">
        <f t="shared" si="0"/>
        <v>29</v>
      </c>
      <c r="B32" s="53">
        <v>46114</v>
      </c>
      <c r="C32" s="52" t="s">
        <v>244</v>
      </c>
      <c r="D32" s="55">
        <v>250</v>
      </c>
    </row>
    <row r="33" spans="1:4" x14ac:dyDescent="0.25">
      <c r="A33" s="49">
        <f t="shared" si="0"/>
        <v>30</v>
      </c>
      <c r="B33" s="53">
        <v>46114</v>
      </c>
      <c r="C33" s="52" t="s">
        <v>104</v>
      </c>
      <c r="D33" s="55">
        <v>72</v>
      </c>
    </row>
    <row r="34" spans="1:4" x14ac:dyDescent="0.25">
      <c r="A34" s="49">
        <f t="shared" si="0"/>
        <v>31</v>
      </c>
      <c r="B34" s="53">
        <v>46114</v>
      </c>
      <c r="C34" s="52" t="s">
        <v>20</v>
      </c>
      <c r="D34" s="55">
        <v>60</v>
      </c>
    </row>
    <row r="35" spans="1:4" x14ac:dyDescent="0.25">
      <c r="A35" s="49">
        <f t="shared" si="0"/>
        <v>32</v>
      </c>
      <c r="B35" s="53">
        <v>46114</v>
      </c>
      <c r="C35" s="52" t="s">
        <v>51</v>
      </c>
      <c r="D35" s="55">
        <v>5</v>
      </c>
    </row>
    <row r="36" spans="1:4" x14ac:dyDescent="0.25">
      <c r="A36" s="49">
        <f t="shared" si="0"/>
        <v>33</v>
      </c>
      <c r="B36" s="53">
        <v>46114</v>
      </c>
      <c r="C36" s="52" t="s">
        <v>114</v>
      </c>
      <c r="D36" s="55">
        <v>10</v>
      </c>
    </row>
    <row r="37" spans="1:4" x14ac:dyDescent="0.25">
      <c r="A37" s="49">
        <f t="shared" si="0"/>
        <v>34</v>
      </c>
      <c r="B37" s="53">
        <v>46114</v>
      </c>
      <c r="C37" s="52" t="s">
        <v>53</v>
      </c>
      <c r="D37" s="55">
        <v>12</v>
      </c>
    </row>
    <row r="38" spans="1:4" x14ac:dyDescent="0.25">
      <c r="A38" s="49">
        <f t="shared" si="0"/>
        <v>35</v>
      </c>
      <c r="B38" s="53">
        <v>46114</v>
      </c>
      <c r="C38" s="52" t="s">
        <v>54</v>
      </c>
      <c r="D38" s="55">
        <v>12</v>
      </c>
    </row>
    <row r="39" spans="1:4" x14ac:dyDescent="0.25">
      <c r="A39" s="49">
        <f t="shared" si="0"/>
        <v>36</v>
      </c>
      <c r="B39" s="53">
        <v>46114</v>
      </c>
      <c r="C39" s="52" t="s">
        <v>55</v>
      </c>
      <c r="D39" s="55">
        <v>24</v>
      </c>
    </row>
    <row r="40" spans="1:4" x14ac:dyDescent="0.25">
      <c r="A40" s="49">
        <f t="shared" si="0"/>
        <v>37</v>
      </c>
      <c r="B40" s="53">
        <v>46114</v>
      </c>
      <c r="C40" s="52" t="s">
        <v>56</v>
      </c>
      <c r="D40" s="55">
        <v>24</v>
      </c>
    </row>
    <row r="41" spans="1:4" x14ac:dyDescent="0.25">
      <c r="A41" s="49">
        <f t="shared" si="0"/>
        <v>38</v>
      </c>
      <c r="B41" s="53">
        <v>46114</v>
      </c>
      <c r="C41" s="52" t="s">
        <v>57</v>
      </c>
      <c r="D41" s="55">
        <v>60</v>
      </c>
    </row>
    <row r="42" spans="1:4" x14ac:dyDescent="0.25">
      <c r="A42" s="49">
        <f t="shared" si="0"/>
        <v>39</v>
      </c>
      <c r="B42" s="53">
        <v>46114</v>
      </c>
      <c r="C42" s="52" t="s">
        <v>150</v>
      </c>
      <c r="D42" s="55">
        <v>5</v>
      </c>
    </row>
    <row r="43" spans="1:4" x14ac:dyDescent="0.25">
      <c r="A43" s="49">
        <f t="shared" si="0"/>
        <v>40</v>
      </c>
      <c r="B43" s="54">
        <v>46142</v>
      </c>
      <c r="C43" s="52" t="s">
        <v>266</v>
      </c>
      <c r="D43" s="55">
        <v>60</v>
      </c>
    </row>
    <row r="44" spans="1:4" x14ac:dyDescent="0.25">
      <c r="A44" s="49">
        <f t="shared" si="0"/>
        <v>41</v>
      </c>
      <c r="B44" s="54"/>
      <c r="C44" s="52"/>
      <c r="D44" s="55"/>
    </row>
    <row r="45" spans="1:4" x14ac:dyDescent="0.25">
      <c r="A45" s="49">
        <f t="shared" si="0"/>
        <v>42</v>
      </c>
      <c r="B45" s="54"/>
      <c r="C45" s="52"/>
      <c r="D45" s="55"/>
    </row>
    <row r="46" spans="1:4" x14ac:dyDescent="0.25">
      <c r="A46" s="49">
        <f t="shared" si="0"/>
        <v>43</v>
      </c>
      <c r="B46" s="54"/>
      <c r="C46" s="52"/>
      <c r="D46" s="55"/>
    </row>
    <row r="47" spans="1:4" x14ac:dyDescent="0.25">
      <c r="A47" s="49">
        <f t="shared" si="0"/>
        <v>44</v>
      </c>
      <c r="B47" s="54"/>
      <c r="C47" s="52"/>
      <c r="D47" s="55"/>
    </row>
    <row r="48" spans="1:4" x14ac:dyDescent="0.25">
      <c r="A48" s="49">
        <f t="shared" si="0"/>
        <v>45</v>
      </c>
      <c r="B48" s="54"/>
      <c r="C48" s="52"/>
      <c r="D48" s="55"/>
    </row>
    <row r="49" spans="1:4" x14ac:dyDescent="0.25">
      <c r="A49" s="49">
        <f t="shared" si="0"/>
        <v>46</v>
      </c>
      <c r="B49" s="54"/>
      <c r="C49" s="52"/>
      <c r="D49" s="55"/>
    </row>
    <row r="50" spans="1:4" x14ac:dyDescent="0.25">
      <c r="A50" s="49">
        <f t="shared" si="0"/>
        <v>47</v>
      </c>
      <c r="B50" s="54"/>
      <c r="C50" s="52"/>
      <c r="D50" s="55"/>
    </row>
    <row r="51" spans="1:4" x14ac:dyDescent="0.25">
      <c r="A51" s="49">
        <f t="shared" si="0"/>
        <v>48</v>
      </c>
      <c r="B51" s="54"/>
      <c r="C51" s="52"/>
      <c r="D51" s="55"/>
    </row>
    <row r="52" spans="1:4" x14ac:dyDescent="0.25">
      <c r="A52" s="49">
        <f t="shared" si="0"/>
        <v>49</v>
      </c>
      <c r="B52" s="54"/>
      <c r="C52" s="52"/>
      <c r="D52" s="55"/>
    </row>
    <row r="53" spans="1:4" x14ac:dyDescent="0.25">
      <c r="A53" s="49">
        <f t="shared" si="0"/>
        <v>50</v>
      </c>
      <c r="B53" s="54"/>
      <c r="C53" s="52"/>
      <c r="D53" s="55"/>
    </row>
    <row r="54" spans="1:4" x14ac:dyDescent="0.25">
      <c r="A54" s="49">
        <f t="shared" si="0"/>
        <v>51</v>
      </c>
      <c r="B54" s="54"/>
      <c r="C54" s="52"/>
      <c r="D54" s="51"/>
    </row>
    <row r="55" spans="1:4" x14ac:dyDescent="0.25">
      <c r="A55" s="49">
        <f t="shared" si="0"/>
        <v>52</v>
      </c>
      <c r="B55" s="54"/>
      <c r="C55" s="52"/>
      <c r="D55" s="51"/>
    </row>
    <row r="56" spans="1:4" x14ac:dyDescent="0.25">
      <c r="A56" s="49">
        <f t="shared" si="0"/>
        <v>53</v>
      </c>
      <c r="B56" s="54"/>
      <c r="C56" s="52"/>
      <c r="D56" s="51"/>
    </row>
    <row r="57" spans="1:4" x14ac:dyDescent="0.25">
      <c r="A57" s="49">
        <f t="shared" si="0"/>
        <v>54</v>
      </c>
      <c r="B57" s="54"/>
      <c r="C57" s="52"/>
      <c r="D57" s="51"/>
    </row>
    <row r="58" spans="1:4" x14ac:dyDescent="0.25">
      <c r="A58" s="49">
        <f t="shared" si="0"/>
        <v>55</v>
      </c>
      <c r="B58" s="54"/>
      <c r="C58" s="52"/>
      <c r="D58" s="51"/>
    </row>
    <row r="59" spans="1:4" x14ac:dyDescent="0.25">
      <c r="A59" s="49">
        <f t="shared" si="0"/>
        <v>56</v>
      </c>
      <c r="B59" s="54"/>
      <c r="C59" s="52"/>
      <c r="D59" s="51"/>
    </row>
    <row r="60" spans="1:4" x14ac:dyDescent="0.25">
      <c r="A60" s="49">
        <f t="shared" si="0"/>
        <v>57</v>
      </c>
      <c r="B60" s="54"/>
      <c r="C60" s="52"/>
      <c r="D60" s="51"/>
    </row>
    <row r="61" spans="1:4" x14ac:dyDescent="0.25">
      <c r="A61" s="49">
        <f t="shared" si="0"/>
        <v>58</v>
      </c>
      <c r="B61" s="54"/>
      <c r="C61" s="52"/>
      <c r="D61" s="51"/>
    </row>
    <row r="62" spans="1:4" x14ac:dyDescent="0.25">
      <c r="A62" s="49">
        <f t="shared" si="0"/>
        <v>59</v>
      </c>
      <c r="B62" s="54"/>
      <c r="C62" s="52"/>
      <c r="D62" s="51"/>
    </row>
    <row r="63" spans="1:4" x14ac:dyDescent="0.25">
      <c r="A63" s="49">
        <f t="shared" si="0"/>
        <v>60</v>
      </c>
      <c r="B63" s="54"/>
      <c r="C63" s="52"/>
      <c r="D63" s="51"/>
    </row>
    <row r="64" spans="1:4" x14ac:dyDescent="0.25">
      <c r="A64" s="49">
        <f t="shared" si="0"/>
        <v>61</v>
      </c>
      <c r="B64" s="54"/>
      <c r="C64" s="52"/>
      <c r="D64" s="51"/>
    </row>
    <row r="65" spans="1:4" x14ac:dyDescent="0.25">
      <c r="A65" s="49">
        <f t="shared" si="0"/>
        <v>62</v>
      </c>
      <c r="B65" s="54"/>
      <c r="C65" s="52"/>
      <c r="D65" s="51"/>
    </row>
    <row r="66" spans="1:4" x14ac:dyDescent="0.25">
      <c r="A66" s="49">
        <f t="shared" si="0"/>
        <v>63</v>
      </c>
      <c r="B66" s="54"/>
      <c r="C66" s="52"/>
      <c r="D66" s="51"/>
    </row>
    <row r="67" spans="1:4" x14ac:dyDescent="0.25">
      <c r="A67" s="49">
        <f t="shared" si="0"/>
        <v>64</v>
      </c>
      <c r="B67" s="54"/>
      <c r="C67" s="52"/>
      <c r="D67" s="51"/>
    </row>
    <row r="68" spans="1:4" x14ac:dyDescent="0.25">
      <c r="A68" s="49">
        <f t="shared" ref="A68:A131" si="1">ROW()-3</f>
        <v>65</v>
      </c>
      <c r="B68" s="54"/>
      <c r="C68" s="52"/>
      <c r="D68" s="51"/>
    </row>
    <row r="69" spans="1:4" x14ac:dyDescent="0.25">
      <c r="A69" s="49">
        <f t="shared" si="1"/>
        <v>66</v>
      </c>
      <c r="B69" s="54"/>
      <c r="C69" s="52"/>
      <c r="D69" s="51"/>
    </row>
    <row r="70" spans="1:4" x14ac:dyDescent="0.25">
      <c r="A70" s="49">
        <f t="shared" si="1"/>
        <v>67</v>
      </c>
      <c r="B70" s="54"/>
      <c r="C70" s="52"/>
      <c r="D70" s="51"/>
    </row>
    <row r="71" spans="1:4" x14ac:dyDescent="0.25">
      <c r="A71" s="49">
        <f t="shared" si="1"/>
        <v>68</v>
      </c>
      <c r="B71" s="54"/>
      <c r="C71" s="52"/>
      <c r="D71" s="51"/>
    </row>
    <row r="72" spans="1:4" x14ac:dyDescent="0.25">
      <c r="A72" s="49">
        <f t="shared" si="1"/>
        <v>69</v>
      </c>
      <c r="B72" s="54"/>
      <c r="C72" s="52"/>
      <c r="D72" s="51"/>
    </row>
    <row r="73" spans="1:4" x14ac:dyDescent="0.25">
      <c r="A73" s="49">
        <f t="shared" si="1"/>
        <v>70</v>
      </c>
      <c r="B73" s="54"/>
      <c r="C73" s="52"/>
      <c r="D73" s="55"/>
    </row>
    <row r="74" spans="1:4" x14ac:dyDescent="0.25">
      <c r="A74" s="49">
        <f t="shared" si="1"/>
        <v>71</v>
      </c>
      <c r="B74" s="54"/>
      <c r="C74" s="52"/>
      <c r="D74" s="55"/>
    </row>
    <row r="75" spans="1:4" x14ac:dyDescent="0.25">
      <c r="A75" s="49">
        <f t="shared" si="1"/>
        <v>72</v>
      </c>
      <c r="B75" s="54"/>
      <c r="C75" s="52"/>
      <c r="D75" s="55"/>
    </row>
    <row r="76" spans="1:4" x14ac:dyDescent="0.25">
      <c r="A76" s="49">
        <f t="shared" si="1"/>
        <v>73</v>
      </c>
      <c r="B76" s="54"/>
      <c r="C76" s="52"/>
      <c r="D76" s="55"/>
    </row>
    <row r="77" spans="1:4" x14ac:dyDescent="0.25">
      <c r="A77" s="49">
        <f t="shared" si="1"/>
        <v>74</v>
      </c>
      <c r="B77" s="54"/>
      <c r="C77" s="52"/>
      <c r="D77" s="55"/>
    </row>
    <row r="78" spans="1:4" x14ac:dyDescent="0.25">
      <c r="A78" s="49">
        <f t="shared" si="1"/>
        <v>75</v>
      </c>
      <c r="B78" s="54"/>
      <c r="C78" s="52"/>
      <c r="D78" s="55"/>
    </row>
    <row r="79" spans="1:4" x14ac:dyDescent="0.25">
      <c r="A79" s="49">
        <f t="shared" si="1"/>
        <v>76</v>
      </c>
      <c r="B79" s="54"/>
      <c r="C79" s="52"/>
      <c r="D79" s="55"/>
    </row>
    <row r="80" spans="1:4" x14ac:dyDescent="0.25">
      <c r="A80" s="49">
        <f t="shared" si="1"/>
        <v>77</v>
      </c>
      <c r="B80" s="54"/>
      <c r="C80" s="52"/>
      <c r="D80" s="55"/>
    </row>
    <row r="81" spans="1:4" x14ac:dyDescent="0.25">
      <c r="A81" s="49">
        <f t="shared" si="1"/>
        <v>78</v>
      </c>
      <c r="B81" s="54"/>
      <c r="C81" s="52"/>
      <c r="D81" s="55"/>
    </row>
    <row r="82" spans="1:4" x14ac:dyDescent="0.25">
      <c r="A82" s="49">
        <f t="shared" si="1"/>
        <v>79</v>
      </c>
      <c r="B82" s="54"/>
      <c r="C82" s="52"/>
      <c r="D82" s="55"/>
    </row>
    <row r="83" spans="1:4" x14ac:dyDescent="0.25">
      <c r="A83" s="49">
        <f t="shared" si="1"/>
        <v>80</v>
      </c>
      <c r="B83" s="54"/>
      <c r="C83" s="52"/>
      <c r="D83" s="55"/>
    </row>
    <row r="84" spans="1:4" x14ac:dyDescent="0.25">
      <c r="A84" s="49">
        <f t="shared" si="1"/>
        <v>81</v>
      </c>
      <c r="B84" s="54"/>
      <c r="C84" s="52"/>
      <c r="D84" s="55"/>
    </row>
    <row r="85" spans="1:4" x14ac:dyDescent="0.25">
      <c r="A85" s="49">
        <f t="shared" si="1"/>
        <v>82</v>
      </c>
      <c r="B85" s="54"/>
      <c r="C85" s="52"/>
      <c r="D85" s="55"/>
    </row>
    <row r="86" spans="1:4" x14ac:dyDescent="0.25">
      <c r="A86" s="49">
        <f t="shared" si="1"/>
        <v>83</v>
      </c>
      <c r="B86" s="54"/>
      <c r="C86" s="52"/>
      <c r="D86" s="55"/>
    </row>
    <row r="87" spans="1:4" x14ac:dyDescent="0.25">
      <c r="A87" s="49">
        <f t="shared" si="1"/>
        <v>84</v>
      </c>
      <c r="B87" s="54"/>
      <c r="C87" s="52"/>
      <c r="D87" s="55"/>
    </row>
    <row r="88" spans="1:4" x14ac:dyDescent="0.25">
      <c r="A88" s="49">
        <f t="shared" si="1"/>
        <v>85</v>
      </c>
      <c r="B88" s="54"/>
      <c r="C88" s="52"/>
      <c r="D88" s="55"/>
    </row>
    <row r="89" spans="1:4" x14ac:dyDescent="0.25">
      <c r="A89" s="49">
        <f t="shared" si="1"/>
        <v>86</v>
      </c>
      <c r="B89" s="54"/>
      <c r="C89" s="52"/>
      <c r="D89" s="55"/>
    </row>
    <row r="90" spans="1:4" x14ac:dyDescent="0.25">
      <c r="A90" s="49">
        <f t="shared" si="1"/>
        <v>87</v>
      </c>
      <c r="B90" s="54"/>
      <c r="C90" s="52"/>
      <c r="D90" s="55"/>
    </row>
    <row r="91" spans="1:4" x14ac:dyDescent="0.25">
      <c r="A91" s="49">
        <f t="shared" si="1"/>
        <v>88</v>
      </c>
      <c r="B91" s="54"/>
      <c r="C91" s="52"/>
      <c r="D91" s="55"/>
    </row>
    <row r="92" spans="1:4" x14ac:dyDescent="0.25">
      <c r="A92" s="49">
        <f t="shared" si="1"/>
        <v>89</v>
      </c>
      <c r="B92" s="54"/>
      <c r="C92" s="52"/>
      <c r="D92" s="55"/>
    </row>
    <row r="93" spans="1:4" x14ac:dyDescent="0.25">
      <c r="A93" s="49">
        <f t="shared" si="1"/>
        <v>90</v>
      </c>
      <c r="B93" s="54"/>
      <c r="C93" s="52"/>
      <c r="D93" s="55"/>
    </row>
    <row r="94" spans="1:4" x14ac:dyDescent="0.25">
      <c r="A94" s="49">
        <f t="shared" si="1"/>
        <v>91</v>
      </c>
      <c r="B94" s="54"/>
      <c r="C94" s="52"/>
      <c r="D94" s="55"/>
    </row>
    <row r="95" spans="1:4" x14ac:dyDescent="0.25">
      <c r="A95" s="49">
        <f t="shared" si="1"/>
        <v>92</v>
      </c>
      <c r="B95" s="54"/>
      <c r="C95" s="52"/>
      <c r="D95" s="55"/>
    </row>
    <row r="96" spans="1:4" x14ac:dyDescent="0.25">
      <c r="A96" s="49">
        <f t="shared" si="1"/>
        <v>93</v>
      </c>
      <c r="B96" s="54"/>
      <c r="C96" s="52"/>
      <c r="D96" s="55"/>
    </row>
    <row r="97" spans="1:4" x14ac:dyDescent="0.25">
      <c r="A97" s="49">
        <f t="shared" si="1"/>
        <v>94</v>
      </c>
      <c r="B97" s="54"/>
      <c r="C97" s="52"/>
      <c r="D97" s="55"/>
    </row>
    <row r="98" spans="1:4" x14ac:dyDescent="0.25">
      <c r="A98" s="49">
        <f t="shared" si="1"/>
        <v>95</v>
      </c>
      <c r="B98" s="54"/>
      <c r="C98" s="52"/>
      <c r="D98" s="55"/>
    </row>
    <row r="99" spans="1:4" x14ac:dyDescent="0.25">
      <c r="A99" s="49">
        <f t="shared" si="1"/>
        <v>96</v>
      </c>
      <c r="B99" s="54"/>
      <c r="C99" s="52"/>
      <c r="D99" s="55"/>
    </row>
    <row r="100" spans="1:4" x14ac:dyDescent="0.25">
      <c r="A100" s="49">
        <f t="shared" si="1"/>
        <v>97</v>
      </c>
      <c r="B100" s="54"/>
      <c r="C100" s="52"/>
      <c r="D100" s="55"/>
    </row>
    <row r="101" spans="1:4" x14ac:dyDescent="0.25">
      <c r="A101" s="49">
        <f t="shared" si="1"/>
        <v>98</v>
      </c>
      <c r="B101" s="54"/>
      <c r="C101" s="52"/>
      <c r="D101" s="55"/>
    </row>
    <row r="102" spans="1:4" x14ac:dyDescent="0.25">
      <c r="A102" s="49">
        <f t="shared" si="1"/>
        <v>99</v>
      </c>
      <c r="B102" s="54"/>
      <c r="C102" s="52"/>
      <c r="D102" s="55"/>
    </row>
    <row r="103" spans="1:4" x14ac:dyDescent="0.25">
      <c r="A103" s="49">
        <f t="shared" si="1"/>
        <v>100</v>
      </c>
      <c r="B103" s="54"/>
      <c r="C103" s="52"/>
      <c r="D103" s="55"/>
    </row>
    <row r="104" spans="1:4" x14ac:dyDescent="0.25">
      <c r="A104" s="49">
        <f t="shared" si="1"/>
        <v>101</v>
      </c>
      <c r="B104" s="54"/>
      <c r="C104" s="52"/>
      <c r="D104" s="55"/>
    </row>
    <row r="105" spans="1:4" x14ac:dyDescent="0.25">
      <c r="A105" s="49">
        <f t="shared" si="1"/>
        <v>102</v>
      </c>
      <c r="B105" s="54"/>
      <c r="C105" s="52"/>
      <c r="D105" s="55"/>
    </row>
    <row r="106" spans="1:4" x14ac:dyDescent="0.25">
      <c r="A106" s="49">
        <f t="shared" si="1"/>
        <v>103</v>
      </c>
      <c r="B106" s="54"/>
      <c r="C106" s="52"/>
      <c r="D106" s="55"/>
    </row>
    <row r="107" spans="1:4" x14ac:dyDescent="0.25">
      <c r="A107" s="49">
        <f t="shared" si="1"/>
        <v>104</v>
      </c>
      <c r="B107" s="54"/>
      <c r="C107" s="52"/>
      <c r="D107" s="55"/>
    </row>
    <row r="108" spans="1:4" x14ac:dyDescent="0.25">
      <c r="A108" s="49">
        <f t="shared" si="1"/>
        <v>105</v>
      </c>
      <c r="B108" s="54"/>
      <c r="C108" s="52"/>
      <c r="D108" s="55"/>
    </row>
    <row r="109" spans="1:4" x14ac:dyDescent="0.25">
      <c r="A109" s="49">
        <f t="shared" si="1"/>
        <v>106</v>
      </c>
      <c r="B109" s="54"/>
      <c r="C109" s="52"/>
      <c r="D109" s="55"/>
    </row>
    <row r="110" spans="1:4" x14ac:dyDescent="0.25">
      <c r="A110" s="49">
        <f t="shared" si="1"/>
        <v>107</v>
      </c>
      <c r="B110" s="54"/>
      <c r="C110" s="52"/>
      <c r="D110" s="55"/>
    </row>
    <row r="111" spans="1:4" x14ac:dyDescent="0.25">
      <c r="A111" s="49">
        <f t="shared" si="1"/>
        <v>108</v>
      </c>
      <c r="B111" s="54"/>
      <c r="C111" s="52"/>
      <c r="D111" s="55"/>
    </row>
    <row r="112" spans="1:4" x14ac:dyDescent="0.25">
      <c r="A112" s="49">
        <f t="shared" si="1"/>
        <v>109</v>
      </c>
      <c r="B112" s="54"/>
      <c r="C112" s="52"/>
      <c r="D112" s="55"/>
    </row>
    <row r="113" spans="1:4" x14ac:dyDescent="0.25">
      <c r="A113" s="49">
        <f t="shared" si="1"/>
        <v>110</v>
      </c>
      <c r="B113" s="54"/>
      <c r="C113" s="52"/>
      <c r="D113" s="55"/>
    </row>
    <row r="114" spans="1:4" x14ac:dyDescent="0.25">
      <c r="A114" s="49">
        <f t="shared" si="1"/>
        <v>111</v>
      </c>
      <c r="B114" s="54"/>
      <c r="C114" s="52"/>
      <c r="D114" s="55"/>
    </row>
    <row r="115" spans="1:4" x14ac:dyDescent="0.25">
      <c r="A115" s="49">
        <f t="shared" si="1"/>
        <v>112</v>
      </c>
      <c r="B115" s="54"/>
      <c r="C115" s="52"/>
      <c r="D115" s="55"/>
    </row>
    <row r="116" spans="1:4" x14ac:dyDescent="0.25">
      <c r="A116" s="49">
        <f t="shared" si="1"/>
        <v>113</v>
      </c>
      <c r="B116" s="54"/>
      <c r="C116" s="52"/>
      <c r="D116" s="55"/>
    </row>
    <row r="117" spans="1:4" x14ac:dyDescent="0.25">
      <c r="A117" s="49">
        <f t="shared" si="1"/>
        <v>114</v>
      </c>
      <c r="B117" s="54"/>
      <c r="C117" s="52"/>
      <c r="D117" s="55"/>
    </row>
    <row r="118" spans="1:4" x14ac:dyDescent="0.25">
      <c r="A118" s="49">
        <f t="shared" si="1"/>
        <v>115</v>
      </c>
      <c r="B118" s="54"/>
      <c r="C118" s="52"/>
      <c r="D118" s="55"/>
    </row>
    <row r="119" spans="1:4" x14ac:dyDescent="0.25">
      <c r="A119" s="49">
        <f t="shared" si="1"/>
        <v>116</v>
      </c>
      <c r="B119" s="54"/>
      <c r="C119" s="52"/>
      <c r="D119" s="55"/>
    </row>
    <row r="120" spans="1:4" x14ac:dyDescent="0.25">
      <c r="A120" s="49">
        <f t="shared" si="1"/>
        <v>117</v>
      </c>
      <c r="B120" s="54"/>
      <c r="C120" s="52"/>
      <c r="D120" s="55"/>
    </row>
    <row r="121" spans="1:4" x14ac:dyDescent="0.25">
      <c r="A121" s="49">
        <f t="shared" si="1"/>
        <v>118</v>
      </c>
      <c r="B121" s="54"/>
      <c r="C121" s="52"/>
      <c r="D121" s="55"/>
    </row>
    <row r="122" spans="1:4" x14ac:dyDescent="0.25">
      <c r="A122" s="49">
        <f t="shared" si="1"/>
        <v>119</v>
      </c>
      <c r="B122" s="54"/>
      <c r="C122" s="52"/>
      <c r="D122" s="55"/>
    </row>
    <row r="123" spans="1:4" x14ac:dyDescent="0.25">
      <c r="A123" s="49">
        <f t="shared" si="1"/>
        <v>120</v>
      </c>
      <c r="B123" s="54"/>
      <c r="C123" s="52"/>
      <c r="D123" s="55"/>
    </row>
    <row r="124" spans="1:4" x14ac:dyDescent="0.25">
      <c r="A124" s="49">
        <f t="shared" si="1"/>
        <v>121</v>
      </c>
      <c r="B124" s="54"/>
      <c r="C124" s="52"/>
      <c r="D124" s="55"/>
    </row>
    <row r="125" spans="1:4" x14ac:dyDescent="0.25">
      <c r="A125" s="49">
        <f t="shared" si="1"/>
        <v>122</v>
      </c>
      <c r="B125" s="54"/>
      <c r="C125" s="52"/>
      <c r="D125" s="55"/>
    </row>
    <row r="126" spans="1:4" x14ac:dyDescent="0.25">
      <c r="A126" s="49">
        <f t="shared" si="1"/>
        <v>123</v>
      </c>
      <c r="B126" s="54"/>
      <c r="C126" s="52"/>
      <c r="D126" s="55"/>
    </row>
    <row r="127" spans="1:4" x14ac:dyDescent="0.25">
      <c r="A127" s="49">
        <f t="shared" si="1"/>
        <v>124</v>
      </c>
      <c r="B127" s="54"/>
      <c r="C127" s="52"/>
      <c r="D127" s="55"/>
    </row>
    <row r="128" spans="1:4" x14ac:dyDescent="0.25">
      <c r="A128" s="49">
        <f t="shared" si="1"/>
        <v>125</v>
      </c>
      <c r="B128" s="54"/>
      <c r="C128" s="52"/>
      <c r="D128" s="55"/>
    </row>
    <row r="129" spans="1:4" x14ac:dyDescent="0.25">
      <c r="A129" s="49">
        <f t="shared" si="1"/>
        <v>126</v>
      </c>
      <c r="B129" s="54"/>
      <c r="C129" s="52"/>
      <c r="D129" s="55"/>
    </row>
    <row r="130" spans="1:4" x14ac:dyDescent="0.25">
      <c r="A130" s="49">
        <f t="shared" si="1"/>
        <v>127</v>
      </c>
      <c r="B130" s="54"/>
      <c r="C130" s="52"/>
      <c r="D130" s="55"/>
    </row>
    <row r="131" spans="1:4" x14ac:dyDescent="0.25">
      <c r="A131" s="49">
        <f t="shared" si="1"/>
        <v>128</v>
      </c>
      <c r="B131" s="54"/>
      <c r="C131" s="52"/>
      <c r="D131" s="55"/>
    </row>
    <row r="132" spans="1:4" x14ac:dyDescent="0.25">
      <c r="A132" s="49">
        <f t="shared" ref="A132:A195" si="2">ROW()-3</f>
        <v>129</v>
      </c>
      <c r="B132" s="54"/>
      <c r="C132" s="52"/>
      <c r="D132" s="55"/>
    </row>
    <row r="133" spans="1:4" x14ac:dyDescent="0.25">
      <c r="A133" s="49">
        <f t="shared" si="2"/>
        <v>130</v>
      </c>
      <c r="B133" s="54"/>
      <c r="C133" s="52"/>
      <c r="D133" s="55"/>
    </row>
    <row r="134" spans="1:4" x14ac:dyDescent="0.25">
      <c r="A134" s="49">
        <f t="shared" si="2"/>
        <v>131</v>
      </c>
      <c r="B134" s="54"/>
      <c r="C134" s="52"/>
      <c r="D134" s="55"/>
    </row>
    <row r="135" spans="1:4" x14ac:dyDescent="0.25">
      <c r="A135" s="49">
        <f t="shared" si="2"/>
        <v>132</v>
      </c>
      <c r="B135" s="54"/>
      <c r="C135" s="52"/>
      <c r="D135" s="55"/>
    </row>
    <row r="136" spans="1:4" x14ac:dyDescent="0.25">
      <c r="A136" s="49">
        <f t="shared" si="2"/>
        <v>133</v>
      </c>
      <c r="B136" s="54"/>
      <c r="C136" s="52"/>
      <c r="D136" s="55"/>
    </row>
    <row r="137" spans="1:4" x14ac:dyDescent="0.25">
      <c r="A137" s="49">
        <f t="shared" si="2"/>
        <v>134</v>
      </c>
      <c r="B137" s="54"/>
      <c r="C137" s="52"/>
      <c r="D137" s="55"/>
    </row>
    <row r="138" spans="1:4" x14ac:dyDescent="0.25">
      <c r="A138" s="49">
        <f t="shared" si="2"/>
        <v>135</v>
      </c>
      <c r="B138" s="54"/>
      <c r="C138" s="52"/>
      <c r="D138" s="55"/>
    </row>
    <row r="139" spans="1:4" x14ac:dyDescent="0.25">
      <c r="A139" s="49">
        <f t="shared" si="2"/>
        <v>136</v>
      </c>
      <c r="B139" s="54"/>
      <c r="C139" s="52"/>
      <c r="D139" s="55"/>
    </row>
    <row r="140" spans="1:4" x14ac:dyDescent="0.25">
      <c r="A140" s="49">
        <f t="shared" si="2"/>
        <v>137</v>
      </c>
      <c r="B140" s="54"/>
      <c r="C140" s="52"/>
      <c r="D140" s="55"/>
    </row>
    <row r="141" spans="1:4" x14ac:dyDescent="0.25">
      <c r="A141" s="49">
        <f t="shared" si="2"/>
        <v>138</v>
      </c>
      <c r="B141" s="54"/>
      <c r="C141" s="52"/>
      <c r="D141" s="55"/>
    </row>
    <row r="142" spans="1:4" x14ac:dyDescent="0.25">
      <c r="A142" s="49">
        <f t="shared" si="2"/>
        <v>139</v>
      </c>
      <c r="B142" s="54"/>
      <c r="C142" s="52"/>
      <c r="D142" s="55"/>
    </row>
    <row r="143" spans="1:4" x14ac:dyDescent="0.25">
      <c r="A143" s="49">
        <f t="shared" si="2"/>
        <v>140</v>
      </c>
      <c r="B143" s="54"/>
      <c r="C143" s="52"/>
      <c r="D143" s="55"/>
    </row>
    <row r="144" spans="1:4" x14ac:dyDescent="0.25">
      <c r="A144" s="49">
        <f t="shared" si="2"/>
        <v>141</v>
      </c>
      <c r="B144" s="54"/>
      <c r="C144" s="52"/>
      <c r="D144" s="55"/>
    </row>
    <row r="145" spans="1:4" x14ac:dyDescent="0.25">
      <c r="A145" s="49">
        <f t="shared" si="2"/>
        <v>142</v>
      </c>
      <c r="B145" s="54"/>
      <c r="C145" s="52"/>
      <c r="D145" s="55"/>
    </row>
    <row r="146" spans="1:4" x14ac:dyDescent="0.25">
      <c r="A146" s="49">
        <f t="shared" si="2"/>
        <v>143</v>
      </c>
      <c r="B146" s="54"/>
      <c r="C146" s="52"/>
      <c r="D146" s="55"/>
    </row>
    <row r="147" spans="1:4" x14ac:dyDescent="0.25">
      <c r="A147" s="49">
        <f t="shared" si="2"/>
        <v>144</v>
      </c>
      <c r="B147" s="54"/>
      <c r="C147" s="52"/>
      <c r="D147" s="55"/>
    </row>
    <row r="148" spans="1:4" x14ac:dyDescent="0.25">
      <c r="A148" s="49">
        <f t="shared" si="2"/>
        <v>145</v>
      </c>
      <c r="B148" s="54"/>
      <c r="C148" s="52"/>
      <c r="D148" s="55"/>
    </row>
    <row r="149" spans="1:4" x14ac:dyDescent="0.25">
      <c r="A149" s="49">
        <f t="shared" si="2"/>
        <v>146</v>
      </c>
      <c r="B149" s="54"/>
      <c r="C149" s="52"/>
      <c r="D149" s="55"/>
    </row>
    <row r="150" spans="1:4" x14ac:dyDescent="0.25">
      <c r="A150" s="49">
        <f t="shared" si="2"/>
        <v>147</v>
      </c>
      <c r="B150" s="54"/>
      <c r="C150" s="52"/>
      <c r="D150" s="55"/>
    </row>
    <row r="151" spans="1:4" x14ac:dyDescent="0.25">
      <c r="A151" s="49">
        <f t="shared" si="2"/>
        <v>148</v>
      </c>
      <c r="B151" s="54"/>
      <c r="C151" s="52"/>
      <c r="D151" s="55"/>
    </row>
    <row r="152" spans="1:4" x14ac:dyDescent="0.25">
      <c r="A152" s="49">
        <f t="shared" si="2"/>
        <v>149</v>
      </c>
      <c r="B152" s="54"/>
      <c r="C152" s="52"/>
      <c r="D152" s="55"/>
    </row>
    <row r="153" spans="1:4" x14ac:dyDescent="0.25">
      <c r="A153" s="49">
        <f t="shared" si="2"/>
        <v>150</v>
      </c>
      <c r="B153" s="54"/>
      <c r="C153" s="52"/>
      <c r="D153" s="55"/>
    </row>
    <row r="154" spans="1:4" x14ac:dyDescent="0.25">
      <c r="A154" s="49">
        <f t="shared" si="2"/>
        <v>151</v>
      </c>
      <c r="B154" s="54"/>
      <c r="C154" s="52"/>
      <c r="D154" s="55"/>
    </row>
    <row r="155" spans="1:4" x14ac:dyDescent="0.25">
      <c r="A155" s="49">
        <f t="shared" si="2"/>
        <v>152</v>
      </c>
      <c r="B155" s="54"/>
      <c r="C155" s="52"/>
      <c r="D155" s="55"/>
    </row>
    <row r="156" spans="1:4" x14ac:dyDescent="0.25">
      <c r="A156" s="49">
        <f t="shared" si="2"/>
        <v>153</v>
      </c>
      <c r="B156" s="54"/>
      <c r="C156" s="52"/>
      <c r="D156" s="55"/>
    </row>
    <row r="157" spans="1:4" x14ac:dyDescent="0.25">
      <c r="A157" s="49">
        <f t="shared" si="2"/>
        <v>154</v>
      </c>
      <c r="B157" s="54"/>
      <c r="C157" s="52"/>
      <c r="D157" s="55"/>
    </row>
    <row r="158" spans="1:4" x14ac:dyDescent="0.25">
      <c r="A158" s="49">
        <f t="shared" si="2"/>
        <v>155</v>
      </c>
      <c r="B158" s="54"/>
      <c r="C158" s="52"/>
      <c r="D158" s="55"/>
    </row>
    <row r="159" spans="1:4" x14ac:dyDescent="0.25">
      <c r="A159" s="49">
        <f t="shared" si="2"/>
        <v>156</v>
      </c>
      <c r="B159" s="54"/>
      <c r="C159" s="52"/>
      <c r="D159" s="55"/>
    </row>
    <row r="160" spans="1:4" x14ac:dyDescent="0.25">
      <c r="A160" s="49">
        <f t="shared" si="2"/>
        <v>157</v>
      </c>
      <c r="B160" s="54"/>
      <c r="C160" s="52"/>
      <c r="D160" s="55"/>
    </row>
    <row r="161" spans="1:4" x14ac:dyDescent="0.25">
      <c r="A161" s="49">
        <f t="shared" si="2"/>
        <v>158</v>
      </c>
      <c r="B161" s="54"/>
      <c r="C161" s="52"/>
      <c r="D161" s="55"/>
    </row>
    <row r="162" spans="1:4" x14ac:dyDescent="0.25">
      <c r="A162" s="49">
        <f t="shared" si="2"/>
        <v>159</v>
      </c>
      <c r="B162" s="54"/>
      <c r="C162" s="52"/>
      <c r="D162" s="55"/>
    </row>
    <row r="163" spans="1:4" x14ac:dyDescent="0.25">
      <c r="A163" s="49">
        <f t="shared" si="2"/>
        <v>160</v>
      </c>
      <c r="B163" s="54"/>
      <c r="C163" s="52"/>
      <c r="D163" s="55"/>
    </row>
    <row r="164" spans="1:4" x14ac:dyDescent="0.25">
      <c r="A164" s="49">
        <f t="shared" si="2"/>
        <v>161</v>
      </c>
      <c r="B164" s="54"/>
      <c r="C164" s="52"/>
      <c r="D164" s="55"/>
    </row>
    <row r="165" spans="1:4" x14ac:dyDescent="0.25">
      <c r="A165" s="49">
        <f t="shared" si="2"/>
        <v>162</v>
      </c>
      <c r="B165" s="54"/>
      <c r="C165" s="52"/>
      <c r="D165" s="55"/>
    </row>
    <row r="166" spans="1:4" x14ac:dyDescent="0.25">
      <c r="A166" s="49">
        <f t="shared" si="2"/>
        <v>163</v>
      </c>
      <c r="B166" s="54"/>
      <c r="C166" s="52"/>
      <c r="D166" s="55"/>
    </row>
    <row r="167" spans="1:4" x14ac:dyDescent="0.25">
      <c r="A167" s="49">
        <f t="shared" si="2"/>
        <v>164</v>
      </c>
      <c r="B167" s="54"/>
      <c r="C167" s="52"/>
      <c r="D167" s="55"/>
    </row>
    <row r="168" spans="1:4" x14ac:dyDescent="0.25">
      <c r="A168" s="49">
        <f t="shared" si="2"/>
        <v>165</v>
      </c>
      <c r="B168" s="54"/>
      <c r="C168" s="52"/>
      <c r="D168" s="55"/>
    </row>
    <row r="169" spans="1:4" x14ac:dyDescent="0.25">
      <c r="A169" s="49">
        <f t="shared" si="2"/>
        <v>166</v>
      </c>
      <c r="B169" s="54"/>
      <c r="C169" s="52"/>
      <c r="D169" s="55"/>
    </row>
    <row r="170" spans="1:4" x14ac:dyDescent="0.25">
      <c r="A170" s="49">
        <f t="shared" si="2"/>
        <v>167</v>
      </c>
      <c r="B170" s="54"/>
      <c r="C170" s="52"/>
      <c r="D170" s="55"/>
    </row>
    <row r="171" spans="1:4" x14ac:dyDescent="0.25">
      <c r="A171" s="49">
        <f t="shared" si="2"/>
        <v>168</v>
      </c>
      <c r="B171" s="54"/>
      <c r="C171" s="52"/>
      <c r="D171" s="55"/>
    </row>
    <row r="172" spans="1:4" x14ac:dyDescent="0.25">
      <c r="A172" s="49">
        <f t="shared" si="2"/>
        <v>169</v>
      </c>
      <c r="B172" s="54"/>
      <c r="C172" s="52"/>
      <c r="D172" s="55"/>
    </row>
    <row r="173" spans="1:4" x14ac:dyDescent="0.25">
      <c r="A173" s="49">
        <f t="shared" si="2"/>
        <v>170</v>
      </c>
      <c r="B173" s="54"/>
      <c r="C173" s="52"/>
      <c r="D173" s="55"/>
    </row>
    <row r="174" spans="1:4" x14ac:dyDescent="0.25">
      <c r="A174" s="49">
        <f t="shared" si="2"/>
        <v>171</v>
      </c>
      <c r="B174" s="54"/>
      <c r="C174" s="52"/>
      <c r="D174" s="55"/>
    </row>
    <row r="175" spans="1:4" x14ac:dyDescent="0.25">
      <c r="A175" s="49">
        <f t="shared" si="2"/>
        <v>172</v>
      </c>
      <c r="B175" s="54"/>
      <c r="C175" s="52"/>
      <c r="D175" s="55"/>
    </row>
    <row r="176" spans="1:4" x14ac:dyDescent="0.25">
      <c r="A176" s="49">
        <f t="shared" si="2"/>
        <v>173</v>
      </c>
      <c r="B176" s="54"/>
      <c r="C176" s="52"/>
      <c r="D176" s="55"/>
    </row>
    <row r="177" spans="1:4" x14ac:dyDescent="0.25">
      <c r="A177" s="49">
        <f t="shared" si="2"/>
        <v>174</v>
      </c>
      <c r="B177" s="54"/>
      <c r="C177" s="52"/>
      <c r="D177" s="55"/>
    </row>
    <row r="178" spans="1:4" x14ac:dyDescent="0.25">
      <c r="A178" s="49">
        <f t="shared" si="2"/>
        <v>175</v>
      </c>
      <c r="B178" s="54"/>
      <c r="C178" s="52"/>
      <c r="D178" s="55"/>
    </row>
    <row r="179" spans="1:4" x14ac:dyDescent="0.25">
      <c r="A179" s="49">
        <f t="shared" si="2"/>
        <v>176</v>
      </c>
      <c r="B179" s="54"/>
      <c r="C179" s="52"/>
      <c r="D179" s="55"/>
    </row>
    <row r="180" spans="1:4" x14ac:dyDescent="0.25">
      <c r="A180" s="49">
        <f t="shared" si="2"/>
        <v>177</v>
      </c>
      <c r="B180" s="54"/>
      <c r="C180" s="52"/>
      <c r="D180" s="55"/>
    </row>
    <row r="181" spans="1:4" x14ac:dyDescent="0.25">
      <c r="A181" s="49">
        <f t="shared" si="2"/>
        <v>178</v>
      </c>
      <c r="B181" s="54"/>
      <c r="C181" s="52"/>
      <c r="D181" s="55"/>
    </row>
    <row r="182" spans="1:4" x14ac:dyDescent="0.25">
      <c r="A182" s="49">
        <f t="shared" si="2"/>
        <v>179</v>
      </c>
      <c r="B182" s="54"/>
      <c r="C182" s="52"/>
      <c r="D182" s="55"/>
    </row>
    <row r="183" spans="1:4" x14ac:dyDescent="0.25">
      <c r="A183" s="49">
        <f t="shared" si="2"/>
        <v>180</v>
      </c>
      <c r="B183" s="54"/>
      <c r="C183" s="52"/>
      <c r="D183" s="55"/>
    </row>
    <row r="184" spans="1:4" x14ac:dyDescent="0.25">
      <c r="A184" s="49">
        <f t="shared" si="2"/>
        <v>181</v>
      </c>
      <c r="B184" s="54"/>
      <c r="C184" s="52"/>
      <c r="D184" s="55"/>
    </row>
    <row r="185" spans="1:4" x14ac:dyDescent="0.25">
      <c r="A185" s="49">
        <f t="shared" si="2"/>
        <v>182</v>
      </c>
      <c r="B185" s="54"/>
      <c r="C185" s="52"/>
      <c r="D185" s="55"/>
    </row>
    <row r="186" spans="1:4" x14ac:dyDescent="0.25">
      <c r="A186" s="49">
        <f t="shared" si="2"/>
        <v>183</v>
      </c>
      <c r="B186" s="54"/>
      <c r="C186" s="52"/>
      <c r="D186" s="55"/>
    </row>
    <row r="187" spans="1:4" x14ac:dyDescent="0.25">
      <c r="A187" s="49">
        <f t="shared" si="2"/>
        <v>184</v>
      </c>
      <c r="B187" s="54"/>
      <c r="C187" s="52"/>
      <c r="D187" s="55"/>
    </row>
    <row r="188" spans="1:4" x14ac:dyDescent="0.25">
      <c r="A188" s="49">
        <f t="shared" si="2"/>
        <v>185</v>
      </c>
      <c r="B188" s="54"/>
      <c r="C188" s="52"/>
      <c r="D188" s="55"/>
    </row>
    <row r="189" spans="1:4" x14ac:dyDescent="0.25">
      <c r="A189" s="49">
        <f t="shared" si="2"/>
        <v>186</v>
      </c>
      <c r="B189" s="54"/>
      <c r="C189" s="52"/>
      <c r="D189" s="55"/>
    </row>
    <row r="190" spans="1:4" x14ac:dyDescent="0.25">
      <c r="A190" s="49">
        <f t="shared" si="2"/>
        <v>187</v>
      </c>
      <c r="B190" s="54"/>
      <c r="C190" s="52"/>
      <c r="D190" s="55"/>
    </row>
    <row r="191" spans="1:4" x14ac:dyDescent="0.25">
      <c r="A191" s="49">
        <f t="shared" si="2"/>
        <v>188</v>
      </c>
      <c r="B191" s="54"/>
      <c r="C191" s="52"/>
      <c r="D191" s="55"/>
    </row>
    <row r="192" spans="1:4" x14ac:dyDescent="0.25">
      <c r="A192" s="49">
        <f t="shared" si="2"/>
        <v>189</v>
      </c>
      <c r="B192" s="54"/>
      <c r="C192" s="52"/>
      <c r="D192" s="55"/>
    </row>
    <row r="193" spans="1:4" x14ac:dyDescent="0.25">
      <c r="A193" s="49">
        <f t="shared" si="2"/>
        <v>190</v>
      </c>
      <c r="B193" s="54"/>
      <c r="C193" s="52"/>
      <c r="D193" s="55"/>
    </row>
    <row r="194" spans="1:4" x14ac:dyDescent="0.25">
      <c r="A194" s="49">
        <f t="shared" si="2"/>
        <v>191</v>
      </c>
      <c r="B194" s="54"/>
      <c r="C194" s="52"/>
      <c r="D194" s="55"/>
    </row>
    <row r="195" spans="1:4" x14ac:dyDescent="0.25">
      <c r="A195" s="49">
        <f t="shared" si="2"/>
        <v>192</v>
      </c>
      <c r="B195" s="54"/>
      <c r="C195" s="52"/>
      <c r="D195" s="55"/>
    </row>
    <row r="196" spans="1:4" x14ac:dyDescent="0.25">
      <c r="A196" s="49">
        <f t="shared" ref="A196:A259" si="3">ROW()-3</f>
        <v>193</v>
      </c>
      <c r="B196" s="54"/>
      <c r="C196" s="52"/>
      <c r="D196" s="55"/>
    </row>
    <row r="197" spans="1:4" x14ac:dyDescent="0.25">
      <c r="A197" s="49">
        <f t="shared" si="3"/>
        <v>194</v>
      </c>
      <c r="B197" s="54"/>
      <c r="C197" s="52"/>
      <c r="D197" s="55"/>
    </row>
    <row r="198" spans="1:4" x14ac:dyDescent="0.25">
      <c r="A198" s="49">
        <f t="shared" si="3"/>
        <v>195</v>
      </c>
      <c r="B198" s="54"/>
      <c r="C198" s="52"/>
      <c r="D198" s="55"/>
    </row>
    <row r="199" spans="1:4" x14ac:dyDescent="0.25">
      <c r="A199" s="49">
        <f t="shared" si="3"/>
        <v>196</v>
      </c>
      <c r="B199" s="54"/>
      <c r="C199" s="52"/>
      <c r="D199" s="55"/>
    </row>
    <row r="200" spans="1:4" x14ac:dyDescent="0.25">
      <c r="A200" s="49">
        <f t="shared" si="3"/>
        <v>197</v>
      </c>
      <c r="B200" s="54"/>
      <c r="C200" s="52"/>
      <c r="D200" s="55"/>
    </row>
    <row r="201" spans="1:4" x14ac:dyDescent="0.25">
      <c r="A201" s="49">
        <f t="shared" si="3"/>
        <v>198</v>
      </c>
      <c r="B201" s="54"/>
      <c r="C201" s="52"/>
      <c r="D201" s="55"/>
    </row>
    <row r="202" spans="1:4" x14ac:dyDescent="0.25">
      <c r="A202" s="49">
        <f t="shared" si="3"/>
        <v>199</v>
      </c>
      <c r="B202" s="54"/>
      <c r="C202" s="52"/>
      <c r="D202" s="55"/>
    </row>
    <row r="203" spans="1:4" x14ac:dyDescent="0.25">
      <c r="A203" s="49">
        <f t="shared" si="3"/>
        <v>200</v>
      </c>
      <c r="B203" s="54"/>
      <c r="C203" s="52"/>
      <c r="D203" s="55"/>
    </row>
    <row r="204" spans="1:4" x14ac:dyDescent="0.25">
      <c r="A204" s="49">
        <f t="shared" si="3"/>
        <v>201</v>
      </c>
      <c r="B204" s="54"/>
      <c r="C204" s="52"/>
      <c r="D204" s="55"/>
    </row>
    <row r="205" spans="1:4" x14ac:dyDescent="0.25">
      <c r="A205" s="49">
        <f t="shared" si="3"/>
        <v>202</v>
      </c>
      <c r="B205" s="54"/>
      <c r="C205" s="52"/>
      <c r="D205" s="55"/>
    </row>
    <row r="206" spans="1:4" x14ac:dyDescent="0.25">
      <c r="A206" s="49">
        <f t="shared" si="3"/>
        <v>203</v>
      </c>
      <c r="B206" s="54"/>
      <c r="C206" s="52"/>
      <c r="D206" s="55"/>
    </row>
    <row r="207" spans="1:4" x14ac:dyDescent="0.25">
      <c r="A207" s="49">
        <f t="shared" si="3"/>
        <v>204</v>
      </c>
      <c r="B207" s="54"/>
      <c r="C207" s="52"/>
      <c r="D207" s="55"/>
    </row>
    <row r="208" spans="1:4" x14ac:dyDescent="0.25">
      <c r="A208" s="49">
        <f t="shared" si="3"/>
        <v>205</v>
      </c>
      <c r="B208" s="54"/>
      <c r="C208" s="52"/>
      <c r="D208" s="55"/>
    </row>
    <row r="209" spans="1:4" x14ac:dyDescent="0.25">
      <c r="A209" s="49">
        <f t="shared" si="3"/>
        <v>206</v>
      </c>
      <c r="B209" s="54"/>
      <c r="C209" s="52"/>
      <c r="D209" s="55"/>
    </row>
    <row r="210" spans="1:4" x14ac:dyDescent="0.25">
      <c r="A210" s="49">
        <f t="shared" si="3"/>
        <v>207</v>
      </c>
      <c r="B210" s="54"/>
      <c r="C210" s="52"/>
      <c r="D210" s="55"/>
    </row>
    <row r="211" spans="1:4" x14ac:dyDescent="0.25">
      <c r="A211" s="49">
        <f t="shared" si="3"/>
        <v>208</v>
      </c>
      <c r="B211" s="54"/>
      <c r="C211" s="52"/>
      <c r="D211" s="55"/>
    </row>
    <row r="212" spans="1:4" x14ac:dyDescent="0.25">
      <c r="A212" s="49">
        <f t="shared" si="3"/>
        <v>209</v>
      </c>
      <c r="B212" s="54"/>
      <c r="C212" s="52"/>
      <c r="D212" s="55"/>
    </row>
    <row r="213" spans="1:4" x14ac:dyDescent="0.25">
      <c r="A213" s="49">
        <f t="shared" si="3"/>
        <v>210</v>
      </c>
      <c r="B213" s="54"/>
      <c r="C213" s="52"/>
      <c r="D213" s="55"/>
    </row>
    <row r="214" spans="1:4" x14ac:dyDescent="0.25">
      <c r="A214" s="49">
        <f t="shared" si="3"/>
        <v>211</v>
      </c>
      <c r="B214" s="54"/>
      <c r="C214" s="52"/>
      <c r="D214" s="55"/>
    </row>
    <row r="215" spans="1:4" x14ac:dyDescent="0.25">
      <c r="A215" s="49">
        <f t="shared" si="3"/>
        <v>212</v>
      </c>
      <c r="B215" s="54"/>
      <c r="C215" s="52"/>
      <c r="D215" s="55"/>
    </row>
    <row r="216" spans="1:4" x14ac:dyDescent="0.25">
      <c r="A216" s="49">
        <f t="shared" si="3"/>
        <v>213</v>
      </c>
      <c r="B216" s="54"/>
      <c r="C216" s="52"/>
      <c r="D216" s="55"/>
    </row>
    <row r="217" spans="1:4" x14ac:dyDescent="0.25">
      <c r="A217" s="49">
        <f t="shared" si="3"/>
        <v>214</v>
      </c>
      <c r="B217" s="54"/>
      <c r="C217" s="52"/>
      <c r="D217" s="55"/>
    </row>
    <row r="218" spans="1:4" x14ac:dyDescent="0.25">
      <c r="A218" s="49">
        <f t="shared" si="3"/>
        <v>215</v>
      </c>
      <c r="B218" s="54"/>
      <c r="C218" s="52"/>
      <c r="D218" s="55"/>
    </row>
    <row r="219" spans="1:4" x14ac:dyDescent="0.25">
      <c r="A219" s="49">
        <f t="shared" si="3"/>
        <v>216</v>
      </c>
      <c r="B219" s="54"/>
      <c r="C219" s="52"/>
      <c r="D219" s="55"/>
    </row>
    <row r="220" spans="1:4" x14ac:dyDescent="0.25">
      <c r="A220" s="49">
        <f t="shared" si="3"/>
        <v>217</v>
      </c>
      <c r="B220" s="54"/>
      <c r="C220" s="52"/>
      <c r="D220" s="55"/>
    </row>
    <row r="221" spans="1:4" x14ac:dyDescent="0.25">
      <c r="A221" s="49">
        <f t="shared" si="3"/>
        <v>218</v>
      </c>
      <c r="B221" s="54"/>
      <c r="C221" s="52"/>
      <c r="D221" s="55"/>
    </row>
    <row r="222" spans="1:4" x14ac:dyDescent="0.25">
      <c r="A222" s="49">
        <f t="shared" si="3"/>
        <v>219</v>
      </c>
      <c r="B222" s="54"/>
      <c r="C222" s="52"/>
      <c r="D222" s="55"/>
    </row>
    <row r="223" spans="1:4" x14ac:dyDescent="0.25">
      <c r="A223" s="49">
        <f t="shared" si="3"/>
        <v>220</v>
      </c>
      <c r="B223" s="54"/>
      <c r="C223" s="52"/>
      <c r="D223" s="55"/>
    </row>
    <row r="224" spans="1:4" x14ac:dyDescent="0.25">
      <c r="A224" s="49">
        <f t="shared" si="3"/>
        <v>221</v>
      </c>
      <c r="B224" s="54"/>
      <c r="C224" s="52"/>
      <c r="D224" s="55"/>
    </row>
    <row r="225" spans="1:4" x14ac:dyDescent="0.25">
      <c r="A225" s="49">
        <f t="shared" si="3"/>
        <v>222</v>
      </c>
      <c r="B225" s="54"/>
      <c r="C225" s="52"/>
      <c r="D225" s="55"/>
    </row>
    <row r="226" spans="1:4" x14ac:dyDescent="0.25">
      <c r="A226" s="49">
        <f t="shared" si="3"/>
        <v>223</v>
      </c>
      <c r="B226" s="54"/>
      <c r="C226" s="52"/>
      <c r="D226" s="55"/>
    </row>
    <row r="227" spans="1:4" x14ac:dyDescent="0.25">
      <c r="A227" s="49">
        <f t="shared" si="3"/>
        <v>224</v>
      </c>
      <c r="B227" s="54"/>
      <c r="C227" s="52"/>
      <c r="D227" s="55"/>
    </row>
    <row r="228" spans="1:4" x14ac:dyDescent="0.25">
      <c r="A228" s="49">
        <f t="shared" si="3"/>
        <v>225</v>
      </c>
      <c r="B228" s="54"/>
      <c r="C228" s="52"/>
      <c r="D228" s="55"/>
    </row>
    <row r="229" spans="1:4" x14ac:dyDescent="0.25">
      <c r="A229" s="49">
        <f t="shared" si="3"/>
        <v>226</v>
      </c>
      <c r="B229" s="54"/>
      <c r="C229" s="52"/>
      <c r="D229" s="55"/>
    </row>
    <row r="230" spans="1:4" x14ac:dyDescent="0.25">
      <c r="A230" s="49">
        <f t="shared" si="3"/>
        <v>227</v>
      </c>
      <c r="B230" s="54"/>
      <c r="C230" s="52"/>
      <c r="D230" s="55"/>
    </row>
    <row r="231" spans="1:4" x14ac:dyDescent="0.25">
      <c r="A231" s="49">
        <f t="shared" si="3"/>
        <v>228</v>
      </c>
      <c r="B231" s="54"/>
      <c r="C231" s="52"/>
      <c r="D231" s="55"/>
    </row>
    <row r="232" spans="1:4" x14ac:dyDescent="0.25">
      <c r="A232" s="49">
        <f t="shared" si="3"/>
        <v>229</v>
      </c>
      <c r="B232" s="54"/>
      <c r="C232" s="52"/>
      <c r="D232" s="55"/>
    </row>
    <row r="233" spans="1:4" x14ac:dyDescent="0.25">
      <c r="A233" s="49">
        <f t="shared" si="3"/>
        <v>230</v>
      </c>
      <c r="B233" s="54"/>
      <c r="C233" s="52"/>
      <c r="D233" s="55"/>
    </row>
    <row r="234" spans="1:4" x14ac:dyDescent="0.25">
      <c r="A234" s="49">
        <f t="shared" si="3"/>
        <v>231</v>
      </c>
      <c r="B234" s="54"/>
      <c r="C234" s="52"/>
      <c r="D234" s="55"/>
    </row>
    <row r="235" spans="1:4" x14ac:dyDescent="0.25">
      <c r="A235" s="49">
        <f t="shared" si="3"/>
        <v>232</v>
      </c>
      <c r="B235" s="54"/>
      <c r="C235" s="52"/>
      <c r="D235" s="55"/>
    </row>
    <row r="236" spans="1:4" x14ac:dyDescent="0.25">
      <c r="A236" s="49">
        <f t="shared" si="3"/>
        <v>233</v>
      </c>
      <c r="B236" s="54"/>
      <c r="C236" s="52"/>
      <c r="D236" s="55"/>
    </row>
    <row r="237" spans="1:4" x14ac:dyDescent="0.25">
      <c r="A237" s="49">
        <f t="shared" si="3"/>
        <v>234</v>
      </c>
      <c r="B237" s="54"/>
      <c r="C237" s="52"/>
      <c r="D237" s="55"/>
    </row>
    <row r="238" spans="1:4" x14ac:dyDescent="0.25">
      <c r="A238" s="49">
        <f t="shared" si="3"/>
        <v>235</v>
      </c>
      <c r="B238" s="54"/>
      <c r="C238" s="52"/>
      <c r="D238" s="55"/>
    </row>
    <row r="239" spans="1:4" x14ac:dyDescent="0.25">
      <c r="A239" s="49">
        <f t="shared" si="3"/>
        <v>236</v>
      </c>
      <c r="B239" s="54"/>
      <c r="C239" s="52"/>
      <c r="D239" s="55"/>
    </row>
    <row r="240" spans="1:4" x14ac:dyDescent="0.25">
      <c r="A240" s="49">
        <f t="shared" si="3"/>
        <v>237</v>
      </c>
      <c r="B240" s="54"/>
      <c r="C240" s="52"/>
      <c r="D240" s="55"/>
    </row>
    <row r="241" spans="1:4" x14ac:dyDescent="0.25">
      <c r="A241" s="49">
        <f t="shared" si="3"/>
        <v>238</v>
      </c>
      <c r="B241" s="54"/>
      <c r="C241" s="52"/>
      <c r="D241" s="55"/>
    </row>
    <row r="242" spans="1:4" x14ac:dyDescent="0.25">
      <c r="A242" s="49">
        <f t="shared" si="3"/>
        <v>239</v>
      </c>
      <c r="B242" s="54"/>
      <c r="C242" s="52"/>
      <c r="D242" s="55"/>
    </row>
    <row r="243" spans="1:4" x14ac:dyDescent="0.25">
      <c r="A243" s="49">
        <f t="shared" si="3"/>
        <v>240</v>
      </c>
      <c r="B243" s="54"/>
      <c r="C243" s="52"/>
      <c r="D243" s="55"/>
    </row>
    <row r="244" spans="1:4" x14ac:dyDescent="0.25">
      <c r="A244" s="49">
        <f t="shared" si="3"/>
        <v>241</v>
      </c>
      <c r="B244" s="54"/>
      <c r="C244" s="52"/>
      <c r="D244" s="55"/>
    </row>
    <row r="245" spans="1:4" x14ac:dyDescent="0.25">
      <c r="A245" s="49">
        <f t="shared" si="3"/>
        <v>242</v>
      </c>
      <c r="B245" s="54"/>
      <c r="C245" s="52"/>
      <c r="D245" s="55"/>
    </row>
    <row r="246" spans="1:4" x14ac:dyDescent="0.25">
      <c r="A246" s="49">
        <f t="shared" si="3"/>
        <v>243</v>
      </c>
      <c r="B246" s="54"/>
      <c r="C246" s="52"/>
      <c r="D246" s="55"/>
    </row>
    <row r="247" spans="1:4" x14ac:dyDescent="0.25">
      <c r="A247" s="49">
        <f t="shared" si="3"/>
        <v>244</v>
      </c>
      <c r="B247" s="54"/>
      <c r="C247" s="52"/>
      <c r="D247" s="55"/>
    </row>
    <row r="248" spans="1:4" x14ac:dyDescent="0.25">
      <c r="A248" s="49">
        <f t="shared" si="3"/>
        <v>245</v>
      </c>
      <c r="B248" s="54"/>
      <c r="C248" s="52"/>
      <c r="D248" s="55"/>
    </row>
    <row r="249" spans="1:4" x14ac:dyDescent="0.25">
      <c r="A249" s="49">
        <f t="shared" si="3"/>
        <v>246</v>
      </c>
      <c r="B249" s="54"/>
      <c r="C249" s="52"/>
      <c r="D249" s="55"/>
    </row>
    <row r="250" spans="1:4" x14ac:dyDescent="0.25">
      <c r="A250" s="49">
        <f t="shared" si="3"/>
        <v>247</v>
      </c>
      <c r="B250" s="54"/>
      <c r="C250" s="52"/>
      <c r="D250" s="55"/>
    </row>
    <row r="251" spans="1:4" x14ac:dyDescent="0.25">
      <c r="A251" s="49">
        <f t="shared" si="3"/>
        <v>248</v>
      </c>
      <c r="B251" s="54"/>
      <c r="C251" s="52"/>
      <c r="D251" s="55"/>
    </row>
    <row r="252" spans="1:4" x14ac:dyDescent="0.25">
      <c r="A252" s="49">
        <f t="shared" si="3"/>
        <v>249</v>
      </c>
      <c r="B252" s="54"/>
      <c r="C252" s="52"/>
      <c r="D252" s="55"/>
    </row>
    <row r="253" spans="1:4" x14ac:dyDescent="0.25">
      <c r="A253" s="49">
        <f t="shared" si="3"/>
        <v>250</v>
      </c>
      <c r="B253" s="54"/>
      <c r="C253" s="52"/>
      <c r="D253" s="55"/>
    </row>
    <row r="254" spans="1:4" x14ac:dyDescent="0.25">
      <c r="A254" s="49">
        <f t="shared" si="3"/>
        <v>251</v>
      </c>
      <c r="B254" s="54"/>
      <c r="C254" s="52"/>
      <c r="D254" s="55"/>
    </row>
    <row r="255" spans="1:4" x14ac:dyDescent="0.25">
      <c r="A255" s="49">
        <f t="shared" si="3"/>
        <v>252</v>
      </c>
      <c r="B255" s="54"/>
      <c r="C255" s="52"/>
      <c r="D255" s="55"/>
    </row>
    <row r="256" spans="1:4" x14ac:dyDescent="0.25">
      <c r="A256" s="49">
        <f t="shared" si="3"/>
        <v>253</v>
      </c>
      <c r="B256" s="54"/>
      <c r="C256" s="52"/>
      <c r="D256" s="55"/>
    </row>
    <row r="257" spans="1:4" x14ac:dyDescent="0.25">
      <c r="A257" s="49">
        <f t="shared" si="3"/>
        <v>254</v>
      </c>
      <c r="B257" s="54"/>
      <c r="C257" s="52"/>
      <c r="D257" s="55"/>
    </row>
    <row r="258" spans="1:4" x14ac:dyDescent="0.25">
      <c r="A258" s="49">
        <f t="shared" si="3"/>
        <v>255</v>
      </c>
      <c r="B258" s="54"/>
      <c r="C258" s="52"/>
      <c r="D258" s="55"/>
    </row>
    <row r="259" spans="1:4" x14ac:dyDescent="0.25">
      <c r="A259" s="49">
        <f t="shared" si="3"/>
        <v>256</v>
      </c>
      <c r="B259" s="54"/>
      <c r="C259" s="52"/>
      <c r="D259" s="55"/>
    </row>
    <row r="260" spans="1:4" x14ac:dyDescent="0.25">
      <c r="A260" s="49">
        <f t="shared" ref="A260:A323" si="4">ROW()-3</f>
        <v>257</v>
      </c>
      <c r="B260" s="54"/>
      <c r="C260" s="52"/>
      <c r="D260" s="55"/>
    </row>
    <row r="261" spans="1:4" x14ac:dyDescent="0.25">
      <c r="A261" s="49">
        <f t="shared" si="4"/>
        <v>258</v>
      </c>
      <c r="B261" s="54"/>
      <c r="C261" s="52"/>
      <c r="D261" s="55"/>
    </row>
    <row r="262" spans="1:4" x14ac:dyDescent="0.25">
      <c r="A262" s="49">
        <f t="shared" si="4"/>
        <v>259</v>
      </c>
      <c r="B262" s="54"/>
      <c r="C262" s="52"/>
      <c r="D262" s="55"/>
    </row>
    <row r="263" spans="1:4" x14ac:dyDescent="0.25">
      <c r="A263" s="49">
        <f t="shared" si="4"/>
        <v>260</v>
      </c>
      <c r="B263" s="54"/>
      <c r="C263" s="52"/>
      <c r="D263" s="55"/>
    </row>
    <row r="264" spans="1:4" x14ac:dyDescent="0.25">
      <c r="A264" s="49">
        <f t="shared" si="4"/>
        <v>261</v>
      </c>
      <c r="B264" s="54"/>
      <c r="C264" s="52"/>
      <c r="D264" s="55"/>
    </row>
    <row r="265" spans="1:4" x14ac:dyDescent="0.25">
      <c r="A265" s="49">
        <f t="shared" si="4"/>
        <v>262</v>
      </c>
      <c r="B265" s="54"/>
      <c r="C265" s="52"/>
      <c r="D265" s="55"/>
    </row>
    <row r="266" spans="1:4" x14ac:dyDescent="0.25">
      <c r="A266" s="49">
        <f t="shared" si="4"/>
        <v>263</v>
      </c>
      <c r="B266" s="54"/>
      <c r="C266" s="52"/>
      <c r="D266" s="55"/>
    </row>
    <row r="267" spans="1:4" x14ac:dyDescent="0.25">
      <c r="A267" s="49">
        <f t="shared" si="4"/>
        <v>264</v>
      </c>
      <c r="B267" s="54"/>
      <c r="C267" s="52"/>
      <c r="D267" s="55"/>
    </row>
    <row r="268" spans="1:4" x14ac:dyDescent="0.25">
      <c r="A268" s="49">
        <f t="shared" si="4"/>
        <v>265</v>
      </c>
      <c r="B268" s="54"/>
      <c r="C268" s="52"/>
      <c r="D268" s="55"/>
    </row>
    <row r="269" spans="1:4" x14ac:dyDescent="0.25">
      <c r="A269" s="49">
        <f t="shared" si="4"/>
        <v>266</v>
      </c>
      <c r="B269" s="54"/>
      <c r="C269" s="52"/>
      <c r="D269" s="55"/>
    </row>
    <row r="270" spans="1:4" x14ac:dyDescent="0.25">
      <c r="A270" s="49">
        <f t="shared" si="4"/>
        <v>267</v>
      </c>
      <c r="B270" s="54"/>
      <c r="C270" s="52"/>
      <c r="D270" s="55"/>
    </row>
    <row r="271" spans="1:4" x14ac:dyDescent="0.25">
      <c r="A271" s="49">
        <f t="shared" si="4"/>
        <v>268</v>
      </c>
      <c r="B271" s="54"/>
      <c r="C271" s="52"/>
      <c r="D271" s="55"/>
    </row>
    <row r="272" spans="1:4" x14ac:dyDescent="0.25">
      <c r="A272" s="49">
        <f t="shared" si="4"/>
        <v>269</v>
      </c>
      <c r="B272" s="54"/>
      <c r="C272" s="52"/>
      <c r="D272" s="55"/>
    </row>
    <row r="273" spans="1:4" x14ac:dyDescent="0.25">
      <c r="A273" s="49">
        <f t="shared" si="4"/>
        <v>270</v>
      </c>
      <c r="B273" s="54"/>
      <c r="C273" s="52"/>
      <c r="D273" s="55"/>
    </row>
    <row r="274" spans="1:4" x14ac:dyDescent="0.25">
      <c r="A274" s="49">
        <f t="shared" si="4"/>
        <v>271</v>
      </c>
      <c r="B274" s="54"/>
      <c r="C274" s="52"/>
      <c r="D274" s="55"/>
    </row>
    <row r="275" spans="1:4" x14ac:dyDescent="0.25">
      <c r="A275" s="49">
        <f t="shared" si="4"/>
        <v>272</v>
      </c>
      <c r="B275" s="54"/>
      <c r="C275" s="52"/>
      <c r="D275" s="55"/>
    </row>
    <row r="276" spans="1:4" x14ac:dyDescent="0.25">
      <c r="A276" s="49">
        <f t="shared" si="4"/>
        <v>273</v>
      </c>
      <c r="B276" s="54"/>
      <c r="C276" s="52"/>
      <c r="D276" s="55"/>
    </row>
    <row r="277" spans="1:4" x14ac:dyDescent="0.25">
      <c r="A277" s="49">
        <f t="shared" si="4"/>
        <v>274</v>
      </c>
      <c r="B277" s="54"/>
      <c r="C277" s="52"/>
      <c r="D277" s="55"/>
    </row>
    <row r="278" spans="1:4" x14ac:dyDescent="0.25">
      <c r="A278" s="49">
        <f t="shared" si="4"/>
        <v>275</v>
      </c>
      <c r="B278" s="54"/>
      <c r="C278" s="52"/>
      <c r="D278" s="55"/>
    </row>
    <row r="279" spans="1:4" x14ac:dyDescent="0.25">
      <c r="A279" s="49">
        <f t="shared" si="4"/>
        <v>276</v>
      </c>
      <c r="B279" s="54"/>
      <c r="C279" s="52"/>
      <c r="D279" s="55"/>
    </row>
    <row r="280" spans="1:4" x14ac:dyDescent="0.25">
      <c r="A280" s="49">
        <f t="shared" si="4"/>
        <v>277</v>
      </c>
      <c r="B280" s="54"/>
      <c r="C280" s="52"/>
      <c r="D280" s="55"/>
    </row>
    <row r="281" spans="1:4" x14ac:dyDescent="0.25">
      <c r="A281" s="49">
        <f t="shared" si="4"/>
        <v>278</v>
      </c>
      <c r="B281" s="54"/>
      <c r="C281" s="52"/>
      <c r="D281" s="55"/>
    </row>
    <row r="282" spans="1:4" x14ac:dyDescent="0.25">
      <c r="A282" s="49">
        <f t="shared" si="4"/>
        <v>279</v>
      </c>
      <c r="B282" s="54"/>
      <c r="C282" s="52"/>
      <c r="D282" s="55"/>
    </row>
    <row r="283" spans="1:4" x14ac:dyDescent="0.25">
      <c r="A283" s="49">
        <f t="shared" si="4"/>
        <v>280</v>
      </c>
      <c r="B283" s="54"/>
      <c r="C283" s="52"/>
      <c r="D283" s="55"/>
    </row>
    <row r="284" spans="1:4" x14ac:dyDescent="0.25">
      <c r="A284" s="49">
        <f t="shared" si="4"/>
        <v>281</v>
      </c>
      <c r="B284" s="54"/>
      <c r="C284" s="52"/>
      <c r="D284" s="55"/>
    </row>
    <row r="285" spans="1:4" x14ac:dyDescent="0.25">
      <c r="A285" s="49">
        <f t="shared" si="4"/>
        <v>282</v>
      </c>
      <c r="B285" s="54"/>
      <c r="C285" s="52"/>
      <c r="D285" s="55"/>
    </row>
    <row r="286" spans="1:4" x14ac:dyDescent="0.25">
      <c r="A286" s="49">
        <f t="shared" si="4"/>
        <v>283</v>
      </c>
      <c r="B286" s="54"/>
      <c r="C286" s="52"/>
      <c r="D286" s="55"/>
    </row>
    <row r="287" spans="1:4" x14ac:dyDescent="0.25">
      <c r="A287" s="49">
        <f t="shared" si="4"/>
        <v>284</v>
      </c>
      <c r="B287" s="54"/>
      <c r="C287" s="52"/>
      <c r="D287" s="55"/>
    </row>
    <row r="288" spans="1:4" x14ac:dyDescent="0.25">
      <c r="A288" s="49">
        <f t="shared" si="4"/>
        <v>285</v>
      </c>
      <c r="B288" s="54"/>
      <c r="C288" s="52"/>
      <c r="D288" s="55"/>
    </row>
    <row r="289" spans="1:4" x14ac:dyDescent="0.25">
      <c r="A289" s="49">
        <f t="shared" si="4"/>
        <v>286</v>
      </c>
      <c r="B289" s="54"/>
      <c r="C289" s="52"/>
      <c r="D289" s="55"/>
    </row>
    <row r="290" spans="1:4" x14ac:dyDescent="0.25">
      <c r="A290" s="49">
        <f t="shared" si="4"/>
        <v>287</v>
      </c>
      <c r="B290" s="54"/>
      <c r="C290" s="52"/>
      <c r="D290" s="55"/>
    </row>
    <row r="291" spans="1:4" x14ac:dyDescent="0.25">
      <c r="A291" s="49">
        <f t="shared" si="4"/>
        <v>288</v>
      </c>
      <c r="B291" s="54"/>
      <c r="C291" s="52"/>
      <c r="D291" s="55"/>
    </row>
    <row r="292" spans="1:4" x14ac:dyDescent="0.25">
      <c r="A292" s="49">
        <f t="shared" si="4"/>
        <v>289</v>
      </c>
      <c r="B292" s="54"/>
      <c r="C292" s="52"/>
      <c r="D292" s="55"/>
    </row>
    <row r="293" spans="1:4" x14ac:dyDescent="0.25">
      <c r="A293" s="49">
        <f t="shared" si="4"/>
        <v>290</v>
      </c>
      <c r="B293" s="54"/>
      <c r="C293" s="52"/>
      <c r="D293" s="55"/>
    </row>
    <row r="294" spans="1:4" x14ac:dyDescent="0.25">
      <c r="A294" s="49">
        <f t="shared" si="4"/>
        <v>291</v>
      </c>
      <c r="B294" s="54"/>
      <c r="C294" s="52"/>
      <c r="D294" s="55"/>
    </row>
    <row r="295" spans="1:4" x14ac:dyDescent="0.25">
      <c r="A295" s="49">
        <f t="shared" si="4"/>
        <v>292</v>
      </c>
      <c r="B295" s="54"/>
      <c r="C295" s="52"/>
      <c r="D295" s="55"/>
    </row>
    <row r="296" spans="1:4" x14ac:dyDescent="0.25">
      <c r="A296" s="49">
        <f t="shared" si="4"/>
        <v>293</v>
      </c>
      <c r="B296" s="54"/>
      <c r="C296" s="52"/>
      <c r="D296" s="55"/>
    </row>
    <row r="297" spans="1:4" x14ac:dyDescent="0.25">
      <c r="A297" s="49">
        <f t="shared" si="4"/>
        <v>294</v>
      </c>
      <c r="B297" s="54"/>
      <c r="C297" s="52"/>
      <c r="D297" s="55"/>
    </row>
    <row r="298" spans="1:4" x14ac:dyDescent="0.25">
      <c r="A298" s="49">
        <f t="shared" si="4"/>
        <v>295</v>
      </c>
      <c r="B298" s="54"/>
      <c r="C298" s="52"/>
      <c r="D298" s="55"/>
    </row>
    <row r="299" spans="1:4" x14ac:dyDescent="0.25">
      <c r="A299" s="49">
        <f t="shared" si="4"/>
        <v>296</v>
      </c>
      <c r="B299" s="54"/>
      <c r="C299" s="52"/>
      <c r="D299" s="55"/>
    </row>
    <row r="300" spans="1:4" x14ac:dyDescent="0.25">
      <c r="A300" s="49">
        <f t="shared" si="4"/>
        <v>297</v>
      </c>
      <c r="B300" s="54"/>
      <c r="C300" s="52"/>
      <c r="D300" s="55"/>
    </row>
    <row r="301" spans="1:4" x14ac:dyDescent="0.25">
      <c r="A301" s="49">
        <f t="shared" si="4"/>
        <v>298</v>
      </c>
      <c r="B301" s="54"/>
      <c r="C301" s="52"/>
      <c r="D301" s="55"/>
    </row>
    <row r="302" spans="1:4" x14ac:dyDescent="0.25">
      <c r="A302" s="49">
        <f t="shared" si="4"/>
        <v>299</v>
      </c>
      <c r="B302" s="54"/>
      <c r="C302" s="52"/>
      <c r="D302" s="55"/>
    </row>
    <row r="303" spans="1:4" x14ac:dyDescent="0.25">
      <c r="A303" s="49">
        <f t="shared" si="4"/>
        <v>300</v>
      </c>
      <c r="B303" s="54"/>
      <c r="C303" s="52"/>
      <c r="D303" s="55"/>
    </row>
    <row r="304" spans="1:4" x14ac:dyDescent="0.25">
      <c r="A304" s="49">
        <f t="shared" si="4"/>
        <v>301</v>
      </c>
      <c r="B304" s="54"/>
      <c r="C304" s="52"/>
      <c r="D304" s="55"/>
    </row>
    <row r="305" spans="1:4" x14ac:dyDescent="0.25">
      <c r="A305" s="49">
        <f t="shared" si="4"/>
        <v>302</v>
      </c>
      <c r="B305" s="54"/>
      <c r="C305" s="52"/>
      <c r="D305" s="55"/>
    </row>
    <row r="306" spans="1:4" x14ac:dyDescent="0.25">
      <c r="A306" s="49">
        <f t="shared" si="4"/>
        <v>303</v>
      </c>
      <c r="B306" s="54"/>
      <c r="C306" s="52"/>
      <c r="D306" s="55"/>
    </row>
    <row r="307" spans="1:4" x14ac:dyDescent="0.25">
      <c r="A307" s="49">
        <f t="shared" si="4"/>
        <v>304</v>
      </c>
      <c r="B307" s="54"/>
      <c r="C307" s="52"/>
      <c r="D307" s="55"/>
    </row>
    <row r="308" spans="1:4" x14ac:dyDescent="0.25">
      <c r="A308" s="49">
        <f t="shared" si="4"/>
        <v>305</v>
      </c>
      <c r="B308" s="54"/>
      <c r="C308" s="52"/>
      <c r="D308" s="55"/>
    </row>
    <row r="309" spans="1:4" x14ac:dyDescent="0.25">
      <c r="A309" s="49">
        <f t="shared" si="4"/>
        <v>306</v>
      </c>
      <c r="B309" s="54"/>
      <c r="C309" s="52"/>
      <c r="D309" s="55"/>
    </row>
    <row r="310" spans="1:4" x14ac:dyDescent="0.25">
      <c r="A310" s="49">
        <f t="shared" si="4"/>
        <v>307</v>
      </c>
      <c r="B310" s="54"/>
      <c r="C310" s="52"/>
      <c r="D310" s="55"/>
    </row>
    <row r="311" spans="1:4" x14ac:dyDescent="0.25">
      <c r="A311" s="49">
        <f t="shared" si="4"/>
        <v>308</v>
      </c>
      <c r="B311" s="54"/>
      <c r="C311" s="52"/>
      <c r="D311" s="55"/>
    </row>
    <row r="312" spans="1:4" x14ac:dyDescent="0.25">
      <c r="A312" s="49">
        <f t="shared" si="4"/>
        <v>309</v>
      </c>
      <c r="B312" s="54"/>
      <c r="C312" s="52"/>
      <c r="D312" s="55"/>
    </row>
    <row r="313" spans="1:4" x14ac:dyDescent="0.25">
      <c r="A313" s="49">
        <f t="shared" si="4"/>
        <v>310</v>
      </c>
      <c r="B313" s="54"/>
      <c r="C313" s="52"/>
      <c r="D313" s="55"/>
    </row>
    <row r="314" spans="1:4" x14ac:dyDescent="0.25">
      <c r="A314" s="49">
        <f t="shared" si="4"/>
        <v>311</v>
      </c>
      <c r="B314" s="54"/>
      <c r="C314" s="52"/>
      <c r="D314" s="55"/>
    </row>
    <row r="315" spans="1:4" x14ac:dyDescent="0.25">
      <c r="A315" s="49">
        <f t="shared" si="4"/>
        <v>312</v>
      </c>
      <c r="B315" s="54"/>
      <c r="C315" s="52"/>
      <c r="D315" s="55"/>
    </row>
    <row r="316" spans="1:4" x14ac:dyDescent="0.25">
      <c r="A316" s="49">
        <f t="shared" si="4"/>
        <v>313</v>
      </c>
      <c r="B316" s="54"/>
      <c r="C316" s="52"/>
      <c r="D316" s="55"/>
    </row>
    <row r="317" spans="1:4" x14ac:dyDescent="0.25">
      <c r="A317" s="49">
        <f t="shared" si="4"/>
        <v>314</v>
      </c>
      <c r="B317" s="54"/>
      <c r="C317" s="52"/>
      <c r="D317" s="55"/>
    </row>
    <row r="318" spans="1:4" x14ac:dyDescent="0.25">
      <c r="A318" s="49">
        <f t="shared" si="4"/>
        <v>315</v>
      </c>
      <c r="B318" s="54"/>
      <c r="C318" s="52"/>
      <c r="D318" s="55"/>
    </row>
    <row r="319" spans="1:4" x14ac:dyDescent="0.25">
      <c r="A319" s="49">
        <f t="shared" si="4"/>
        <v>316</v>
      </c>
      <c r="B319" s="54"/>
      <c r="C319" s="52"/>
      <c r="D319" s="55"/>
    </row>
    <row r="320" spans="1:4" x14ac:dyDescent="0.25">
      <c r="A320" s="49">
        <f t="shared" si="4"/>
        <v>317</v>
      </c>
      <c r="B320" s="54"/>
      <c r="C320" s="52"/>
      <c r="D320" s="55"/>
    </row>
    <row r="321" spans="1:4" x14ac:dyDescent="0.25">
      <c r="A321" s="49">
        <f t="shared" si="4"/>
        <v>318</v>
      </c>
      <c r="B321" s="54"/>
      <c r="C321" s="52"/>
      <c r="D321" s="55"/>
    </row>
    <row r="322" spans="1:4" x14ac:dyDescent="0.25">
      <c r="A322" s="49">
        <f t="shared" si="4"/>
        <v>319</v>
      </c>
      <c r="B322" s="54"/>
      <c r="C322" s="52"/>
      <c r="D322" s="55"/>
    </row>
    <row r="323" spans="1:4" x14ac:dyDescent="0.25">
      <c r="A323" s="49">
        <f t="shared" si="4"/>
        <v>320</v>
      </c>
      <c r="B323" s="54"/>
      <c r="C323" s="52"/>
      <c r="D323" s="55"/>
    </row>
    <row r="324" spans="1:4" x14ac:dyDescent="0.25">
      <c r="A324" s="49">
        <f t="shared" ref="A324:A387" si="5">ROW()-3</f>
        <v>321</v>
      </c>
      <c r="B324" s="54"/>
      <c r="C324" s="52"/>
      <c r="D324" s="55"/>
    </row>
    <row r="325" spans="1:4" x14ac:dyDescent="0.25">
      <c r="A325" s="49">
        <f t="shared" si="5"/>
        <v>322</v>
      </c>
      <c r="B325" s="54"/>
      <c r="C325" s="52"/>
      <c r="D325" s="55"/>
    </row>
    <row r="326" spans="1:4" x14ac:dyDescent="0.25">
      <c r="A326" s="49">
        <f t="shared" si="5"/>
        <v>323</v>
      </c>
      <c r="B326" s="54"/>
      <c r="C326" s="52"/>
      <c r="D326" s="55"/>
    </row>
    <row r="327" spans="1:4" x14ac:dyDescent="0.25">
      <c r="A327" s="49">
        <f t="shared" si="5"/>
        <v>324</v>
      </c>
      <c r="B327" s="54"/>
      <c r="C327" s="52"/>
      <c r="D327" s="55"/>
    </row>
    <row r="328" spans="1:4" x14ac:dyDescent="0.25">
      <c r="A328" s="49">
        <f t="shared" si="5"/>
        <v>325</v>
      </c>
      <c r="B328" s="54"/>
      <c r="C328" s="52"/>
      <c r="D328" s="55"/>
    </row>
    <row r="329" spans="1:4" x14ac:dyDescent="0.25">
      <c r="A329" s="49">
        <f t="shared" si="5"/>
        <v>326</v>
      </c>
      <c r="B329" s="54"/>
      <c r="C329" s="52"/>
      <c r="D329" s="55"/>
    </row>
    <row r="330" spans="1:4" x14ac:dyDescent="0.25">
      <c r="A330" s="49">
        <f t="shared" si="5"/>
        <v>327</v>
      </c>
      <c r="B330" s="54"/>
      <c r="C330" s="52"/>
      <c r="D330" s="55"/>
    </row>
    <row r="331" spans="1:4" x14ac:dyDescent="0.25">
      <c r="A331" s="49">
        <f t="shared" si="5"/>
        <v>328</v>
      </c>
      <c r="B331" s="54"/>
      <c r="C331" s="52"/>
      <c r="D331" s="55"/>
    </row>
    <row r="332" spans="1:4" x14ac:dyDescent="0.25">
      <c r="A332" s="49">
        <f t="shared" si="5"/>
        <v>329</v>
      </c>
      <c r="B332" s="54"/>
      <c r="C332" s="52"/>
      <c r="D332" s="55"/>
    </row>
    <row r="333" spans="1:4" x14ac:dyDescent="0.25">
      <c r="A333" s="49">
        <f t="shared" si="5"/>
        <v>330</v>
      </c>
      <c r="B333" s="54"/>
      <c r="C333" s="52"/>
      <c r="D333" s="55"/>
    </row>
    <row r="334" spans="1:4" x14ac:dyDescent="0.25">
      <c r="A334" s="49">
        <f t="shared" si="5"/>
        <v>331</v>
      </c>
      <c r="B334" s="54"/>
      <c r="C334" s="52"/>
      <c r="D334" s="55"/>
    </row>
    <row r="335" spans="1:4" x14ac:dyDescent="0.25">
      <c r="A335" s="49">
        <f t="shared" si="5"/>
        <v>332</v>
      </c>
      <c r="B335" s="54"/>
      <c r="C335" s="52"/>
      <c r="D335" s="55"/>
    </row>
    <row r="336" spans="1:4" x14ac:dyDescent="0.25">
      <c r="A336" s="49">
        <f t="shared" si="5"/>
        <v>333</v>
      </c>
      <c r="B336" s="54"/>
      <c r="C336" s="52"/>
      <c r="D336" s="55"/>
    </row>
    <row r="337" spans="1:4" x14ac:dyDescent="0.25">
      <c r="A337" s="49">
        <f t="shared" si="5"/>
        <v>334</v>
      </c>
      <c r="B337" s="54"/>
      <c r="C337" s="52"/>
      <c r="D337" s="55"/>
    </row>
    <row r="338" spans="1:4" x14ac:dyDescent="0.25">
      <c r="A338" s="49">
        <f t="shared" si="5"/>
        <v>335</v>
      </c>
      <c r="B338" s="54"/>
      <c r="C338" s="52"/>
      <c r="D338" s="55"/>
    </row>
    <row r="339" spans="1:4" x14ac:dyDescent="0.25">
      <c r="A339" s="49">
        <f t="shared" si="5"/>
        <v>336</v>
      </c>
      <c r="B339" s="54"/>
      <c r="C339" s="52"/>
      <c r="D339" s="55"/>
    </row>
    <row r="340" spans="1:4" x14ac:dyDescent="0.25">
      <c r="A340" s="49">
        <f t="shared" si="5"/>
        <v>337</v>
      </c>
      <c r="B340" s="54"/>
      <c r="C340" s="52"/>
      <c r="D340" s="55"/>
    </row>
    <row r="341" spans="1:4" x14ac:dyDescent="0.25">
      <c r="A341" s="49">
        <f t="shared" si="5"/>
        <v>338</v>
      </c>
      <c r="B341" s="54"/>
      <c r="C341" s="52"/>
      <c r="D341" s="55"/>
    </row>
    <row r="342" spans="1:4" x14ac:dyDescent="0.25">
      <c r="A342" s="49">
        <f t="shared" si="5"/>
        <v>339</v>
      </c>
      <c r="B342" s="54"/>
      <c r="C342" s="52"/>
      <c r="D342" s="55"/>
    </row>
    <row r="343" spans="1:4" x14ac:dyDescent="0.25">
      <c r="A343" s="49">
        <f t="shared" si="5"/>
        <v>340</v>
      </c>
      <c r="B343" s="54"/>
      <c r="C343" s="52"/>
      <c r="D343" s="55"/>
    </row>
    <row r="344" spans="1:4" x14ac:dyDescent="0.25">
      <c r="A344" s="49">
        <f t="shared" si="5"/>
        <v>341</v>
      </c>
      <c r="B344" s="54"/>
      <c r="C344" s="52"/>
      <c r="D344" s="55"/>
    </row>
    <row r="345" spans="1:4" x14ac:dyDescent="0.25">
      <c r="A345" s="49">
        <f t="shared" si="5"/>
        <v>342</v>
      </c>
      <c r="B345" s="54"/>
      <c r="C345" s="52"/>
      <c r="D345" s="55"/>
    </row>
    <row r="346" spans="1:4" x14ac:dyDescent="0.25">
      <c r="A346" s="49">
        <f t="shared" si="5"/>
        <v>343</v>
      </c>
      <c r="B346" s="54"/>
      <c r="C346" s="52"/>
      <c r="D346" s="55"/>
    </row>
    <row r="347" spans="1:4" x14ac:dyDescent="0.25">
      <c r="A347" s="49">
        <f t="shared" si="5"/>
        <v>344</v>
      </c>
      <c r="B347" s="54"/>
      <c r="C347" s="52"/>
      <c r="D347" s="55"/>
    </row>
    <row r="348" spans="1:4" x14ac:dyDescent="0.25">
      <c r="A348" s="49">
        <f t="shared" si="5"/>
        <v>345</v>
      </c>
      <c r="B348" s="54"/>
      <c r="C348" s="52"/>
      <c r="D348" s="55"/>
    </row>
    <row r="349" spans="1:4" x14ac:dyDescent="0.25">
      <c r="A349" s="49">
        <f t="shared" si="5"/>
        <v>346</v>
      </c>
      <c r="B349" s="54"/>
      <c r="C349" s="52"/>
      <c r="D349" s="55"/>
    </row>
    <row r="350" spans="1:4" x14ac:dyDescent="0.25">
      <c r="A350" s="49">
        <f t="shared" si="5"/>
        <v>347</v>
      </c>
      <c r="B350" s="54"/>
      <c r="C350" s="52"/>
      <c r="D350" s="55"/>
    </row>
    <row r="351" spans="1:4" x14ac:dyDescent="0.25">
      <c r="A351" s="49">
        <f t="shared" si="5"/>
        <v>348</v>
      </c>
      <c r="B351" s="54"/>
      <c r="C351" s="52"/>
      <c r="D351" s="55"/>
    </row>
    <row r="352" spans="1:4" x14ac:dyDescent="0.25">
      <c r="A352" s="49">
        <f t="shared" si="5"/>
        <v>349</v>
      </c>
      <c r="B352" s="54"/>
      <c r="C352" s="52"/>
      <c r="D352" s="55"/>
    </row>
    <row r="353" spans="1:4" x14ac:dyDescent="0.25">
      <c r="A353" s="49">
        <f t="shared" si="5"/>
        <v>350</v>
      </c>
      <c r="B353" s="54"/>
      <c r="C353" s="52"/>
      <c r="D353" s="55"/>
    </row>
    <row r="354" spans="1:4" x14ac:dyDescent="0.25">
      <c r="A354" s="49">
        <f t="shared" si="5"/>
        <v>351</v>
      </c>
      <c r="B354" s="54"/>
      <c r="C354" s="52"/>
      <c r="D354" s="55"/>
    </row>
    <row r="355" spans="1:4" x14ac:dyDescent="0.25">
      <c r="A355" s="49">
        <f t="shared" si="5"/>
        <v>352</v>
      </c>
      <c r="B355" s="54"/>
      <c r="C355" s="52"/>
      <c r="D355" s="55"/>
    </row>
    <row r="356" spans="1:4" x14ac:dyDescent="0.25">
      <c r="A356" s="49">
        <f t="shared" si="5"/>
        <v>353</v>
      </c>
      <c r="B356" s="54"/>
      <c r="C356" s="52"/>
      <c r="D356" s="55"/>
    </row>
    <row r="357" spans="1:4" x14ac:dyDescent="0.25">
      <c r="A357" s="49">
        <f t="shared" si="5"/>
        <v>354</v>
      </c>
      <c r="B357" s="54"/>
      <c r="C357" s="52"/>
      <c r="D357" s="55"/>
    </row>
    <row r="358" spans="1:4" x14ac:dyDescent="0.25">
      <c r="A358" s="49">
        <f t="shared" si="5"/>
        <v>355</v>
      </c>
      <c r="B358" s="54"/>
      <c r="C358" s="52"/>
      <c r="D358" s="55"/>
    </row>
    <row r="359" spans="1:4" x14ac:dyDescent="0.25">
      <c r="A359" s="49">
        <f t="shared" si="5"/>
        <v>356</v>
      </c>
      <c r="B359" s="54"/>
      <c r="C359" s="52"/>
      <c r="D359" s="55"/>
    </row>
    <row r="360" spans="1:4" x14ac:dyDescent="0.25">
      <c r="A360" s="49">
        <f t="shared" si="5"/>
        <v>357</v>
      </c>
      <c r="B360" s="54"/>
      <c r="C360" s="52"/>
      <c r="D360" s="55"/>
    </row>
    <row r="361" spans="1:4" x14ac:dyDescent="0.25">
      <c r="A361" s="49">
        <f t="shared" si="5"/>
        <v>358</v>
      </c>
      <c r="B361" s="54"/>
      <c r="C361" s="52"/>
      <c r="D361" s="55"/>
    </row>
    <row r="362" spans="1:4" x14ac:dyDescent="0.25">
      <c r="A362" s="49">
        <f t="shared" si="5"/>
        <v>359</v>
      </c>
      <c r="B362" s="54"/>
      <c r="C362" s="52"/>
      <c r="D362" s="55"/>
    </row>
    <row r="363" spans="1:4" x14ac:dyDescent="0.25">
      <c r="A363" s="49">
        <f t="shared" si="5"/>
        <v>360</v>
      </c>
      <c r="B363" s="54"/>
      <c r="C363" s="52"/>
      <c r="D363" s="55"/>
    </row>
    <row r="364" spans="1:4" x14ac:dyDescent="0.25">
      <c r="A364" s="49">
        <f t="shared" si="5"/>
        <v>361</v>
      </c>
      <c r="B364" s="54"/>
      <c r="C364" s="52"/>
      <c r="D364" s="55"/>
    </row>
    <row r="365" spans="1:4" x14ac:dyDescent="0.25">
      <c r="A365" s="49">
        <f t="shared" si="5"/>
        <v>362</v>
      </c>
      <c r="B365" s="54"/>
      <c r="C365" s="52"/>
      <c r="D365" s="55"/>
    </row>
    <row r="366" spans="1:4" x14ac:dyDescent="0.25">
      <c r="A366" s="49">
        <f t="shared" si="5"/>
        <v>363</v>
      </c>
      <c r="B366" s="54"/>
      <c r="C366" s="52"/>
      <c r="D366" s="55"/>
    </row>
    <row r="367" spans="1:4" x14ac:dyDescent="0.25">
      <c r="A367" s="49">
        <f t="shared" si="5"/>
        <v>364</v>
      </c>
      <c r="B367" s="54"/>
      <c r="C367" s="52"/>
      <c r="D367" s="55"/>
    </row>
    <row r="368" spans="1:4" x14ac:dyDescent="0.25">
      <c r="A368" s="49">
        <f t="shared" si="5"/>
        <v>365</v>
      </c>
      <c r="B368" s="54"/>
      <c r="C368" s="52"/>
      <c r="D368" s="55"/>
    </row>
    <row r="369" spans="1:4" x14ac:dyDescent="0.25">
      <c r="A369" s="49">
        <f t="shared" si="5"/>
        <v>366</v>
      </c>
      <c r="B369" s="54"/>
      <c r="C369" s="52"/>
      <c r="D369" s="55"/>
    </row>
    <row r="370" spans="1:4" x14ac:dyDescent="0.25">
      <c r="A370" s="49">
        <f t="shared" si="5"/>
        <v>367</v>
      </c>
      <c r="B370" s="54"/>
      <c r="C370" s="52"/>
      <c r="D370" s="55"/>
    </row>
    <row r="371" spans="1:4" x14ac:dyDescent="0.25">
      <c r="A371" s="49">
        <f t="shared" si="5"/>
        <v>368</v>
      </c>
      <c r="B371" s="54"/>
      <c r="C371" s="52"/>
      <c r="D371" s="55"/>
    </row>
    <row r="372" spans="1:4" x14ac:dyDescent="0.25">
      <c r="A372" s="49">
        <f t="shared" si="5"/>
        <v>369</v>
      </c>
      <c r="B372" s="54"/>
      <c r="C372" s="52"/>
      <c r="D372" s="55"/>
    </row>
    <row r="373" spans="1:4" x14ac:dyDescent="0.25">
      <c r="A373" s="49">
        <f t="shared" si="5"/>
        <v>370</v>
      </c>
      <c r="B373" s="54"/>
      <c r="C373" s="52"/>
      <c r="D373" s="55"/>
    </row>
    <row r="374" spans="1:4" x14ac:dyDescent="0.25">
      <c r="A374" s="49">
        <f t="shared" si="5"/>
        <v>371</v>
      </c>
      <c r="B374" s="54"/>
      <c r="C374" s="52"/>
      <c r="D374" s="55"/>
    </row>
    <row r="375" spans="1:4" x14ac:dyDescent="0.25">
      <c r="A375" s="49">
        <f t="shared" si="5"/>
        <v>372</v>
      </c>
      <c r="B375" s="54"/>
      <c r="C375" s="52"/>
      <c r="D375" s="55"/>
    </row>
    <row r="376" spans="1:4" x14ac:dyDescent="0.25">
      <c r="A376" s="49">
        <f t="shared" si="5"/>
        <v>373</v>
      </c>
      <c r="B376" s="54"/>
      <c r="C376" s="52"/>
      <c r="D376" s="55"/>
    </row>
    <row r="377" spans="1:4" x14ac:dyDescent="0.25">
      <c r="A377" s="49">
        <f t="shared" si="5"/>
        <v>374</v>
      </c>
      <c r="B377" s="54"/>
      <c r="C377" s="52"/>
      <c r="D377" s="55"/>
    </row>
    <row r="378" spans="1:4" x14ac:dyDescent="0.25">
      <c r="A378" s="49">
        <f t="shared" si="5"/>
        <v>375</v>
      </c>
      <c r="B378" s="54"/>
      <c r="C378" s="52"/>
      <c r="D378" s="55"/>
    </row>
    <row r="379" spans="1:4" x14ac:dyDescent="0.25">
      <c r="A379" s="49">
        <f t="shared" si="5"/>
        <v>376</v>
      </c>
      <c r="B379" s="54"/>
      <c r="C379" s="52"/>
      <c r="D379" s="55"/>
    </row>
    <row r="380" spans="1:4" x14ac:dyDescent="0.25">
      <c r="A380" s="49">
        <f t="shared" si="5"/>
        <v>377</v>
      </c>
      <c r="B380" s="54"/>
      <c r="C380" s="52"/>
      <c r="D380" s="55"/>
    </row>
    <row r="381" spans="1:4" x14ac:dyDescent="0.25">
      <c r="A381" s="49">
        <f t="shared" si="5"/>
        <v>378</v>
      </c>
      <c r="B381" s="54"/>
      <c r="C381" s="52"/>
      <c r="D381" s="55"/>
    </row>
    <row r="382" spans="1:4" x14ac:dyDescent="0.25">
      <c r="A382" s="49">
        <f t="shared" si="5"/>
        <v>379</v>
      </c>
      <c r="B382" s="54"/>
      <c r="C382" s="52"/>
      <c r="D382" s="55"/>
    </row>
    <row r="383" spans="1:4" x14ac:dyDescent="0.25">
      <c r="A383" s="49">
        <f t="shared" si="5"/>
        <v>380</v>
      </c>
      <c r="B383" s="54"/>
      <c r="C383" s="52"/>
      <c r="D383" s="55"/>
    </row>
    <row r="384" spans="1:4" x14ac:dyDescent="0.25">
      <c r="A384" s="49">
        <f t="shared" si="5"/>
        <v>381</v>
      </c>
      <c r="B384" s="54"/>
      <c r="C384" s="52"/>
      <c r="D384" s="55"/>
    </row>
    <row r="385" spans="1:4" x14ac:dyDescent="0.25">
      <c r="A385" s="49">
        <f t="shared" si="5"/>
        <v>382</v>
      </c>
      <c r="B385" s="54"/>
      <c r="C385" s="52"/>
      <c r="D385" s="55"/>
    </row>
    <row r="386" spans="1:4" x14ac:dyDescent="0.25">
      <c r="A386" s="49">
        <f t="shared" si="5"/>
        <v>383</v>
      </c>
      <c r="B386" s="54"/>
      <c r="C386" s="52"/>
      <c r="D386" s="55"/>
    </row>
    <row r="387" spans="1:4" x14ac:dyDescent="0.25">
      <c r="A387" s="49">
        <f t="shared" si="5"/>
        <v>384</v>
      </c>
      <c r="B387" s="54"/>
      <c r="C387" s="52"/>
      <c r="D387" s="55"/>
    </row>
    <row r="388" spans="1:4" x14ac:dyDescent="0.25">
      <c r="A388" s="49">
        <f t="shared" ref="A388:A451" si="6">ROW()-3</f>
        <v>385</v>
      </c>
      <c r="B388" s="54"/>
      <c r="C388" s="52"/>
      <c r="D388" s="55"/>
    </row>
    <row r="389" spans="1:4" x14ac:dyDescent="0.25">
      <c r="A389" s="49">
        <f t="shared" si="6"/>
        <v>386</v>
      </c>
      <c r="B389" s="54"/>
      <c r="C389" s="52"/>
      <c r="D389" s="55"/>
    </row>
    <row r="390" spans="1:4" x14ac:dyDescent="0.25">
      <c r="A390" s="49">
        <f t="shared" si="6"/>
        <v>387</v>
      </c>
      <c r="B390" s="54"/>
      <c r="C390" s="52"/>
      <c r="D390" s="55"/>
    </row>
    <row r="391" spans="1:4" x14ac:dyDescent="0.25">
      <c r="A391" s="49">
        <f t="shared" si="6"/>
        <v>388</v>
      </c>
      <c r="B391" s="54"/>
      <c r="C391" s="52"/>
      <c r="D391" s="55"/>
    </row>
    <row r="392" spans="1:4" x14ac:dyDescent="0.25">
      <c r="A392" s="49">
        <f t="shared" si="6"/>
        <v>389</v>
      </c>
      <c r="B392" s="54"/>
      <c r="C392" s="52"/>
      <c r="D392" s="55"/>
    </row>
    <row r="393" spans="1:4" x14ac:dyDescent="0.25">
      <c r="A393" s="49">
        <f t="shared" si="6"/>
        <v>390</v>
      </c>
      <c r="B393" s="54"/>
      <c r="C393" s="52"/>
      <c r="D393" s="55"/>
    </row>
    <row r="394" spans="1:4" x14ac:dyDescent="0.25">
      <c r="A394" s="49">
        <f t="shared" si="6"/>
        <v>391</v>
      </c>
      <c r="B394" s="54"/>
      <c r="C394" s="52"/>
      <c r="D394" s="55"/>
    </row>
    <row r="395" spans="1:4" x14ac:dyDescent="0.25">
      <c r="A395" s="49">
        <f t="shared" si="6"/>
        <v>392</v>
      </c>
      <c r="B395" s="54"/>
      <c r="C395" s="52"/>
      <c r="D395" s="55"/>
    </row>
    <row r="396" spans="1:4" x14ac:dyDescent="0.25">
      <c r="A396" s="49">
        <f t="shared" si="6"/>
        <v>393</v>
      </c>
      <c r="B396" s="54"/>
      <c r="C396" s="52"/>
      <c r="D396" s="55"/>
    </row>
    <row r="397" spans="1:4" x14ac:dyDescent="0.25">
      <c r="A397" s="49">
        <f t="shared" si="6"/>
        <v>394</v>
      </c>
      <c r="B397" s="54"/>
      <c r="C397" s="52"/>
      <c r="D397" s="55"/>
    </row>
    <row r="398" spans="1:4" x14ac:dyDescent="0.25">
      <c r="A398" s="49">
        <f t="shared" si="6"/>
        <v>395</v>
      </c>
      <c r="B398" s="54"/>
      <c r="C398" s="52"/>
      <c r="D398" s="55"/>
    </row>
    <row r="399" spans="1:4" x14ac:dyDescent="0.25">
      <c r="A399" s="49">
        <f t="shared" si="6"/>
        <v>396</v>
      </c>
      <c r="B399" s="54"/>
      <c r="C399" s="52"/>
      <c r="D399" s="55"/>
    </row>
    <row r="400" spans="1:4" x14ac:dyDescent="0.25">
      <c r="A400" s="49">
        <f t="shared" si="6"/>
        <v>397</v>
      </c>
      <c r="B400" s="54"/>
      <c r="C400" s="52"/>
      <c r="D400" s="55"/>
    </row>
    <row r="401" spans="1:4" x14ac:dyDescent="0.25">
      <c r="A401" s="49">
        <f t="shared" si="6"/>
        <v>398</v>
      </c>
      <c r="B401" s="54"/>
      <c r="C401" s="52"/>
      <c r="D401" s="55"/>
    </row>
    <row r="402" spans="1:4" x14ac:dyDescent="0.25">
      <c r="A402" s="49">
        <f t="shared" si="6"/>
        <v>399</v>
      </c>
      <c r="B402" s="54"/>
      <c r="C402" s="52"/>
      <c r="D402" s="55"/>
    </row>
    <row r="403" spans="1:4" x14ac:dyDescent="0.25">
      <c r="A403" s="49">
        <f t="shared" si="6"/>
        <v>400</v>
      </c>
      <c r="B403" s="54"/>
      <c r="C403" s="52"/>
      <c r="D403" s="55"/>
    </row>
    <row r="404" spans="1:4" x14ac:dyDescent="0.25">
      <c r="A404" s="49">
        <f t="shared" si="6"/>
        <v>401</v>
      </c>
      <c r="B404" s="54"/>
      <c r="C404" s="52"/>
      <c r="D404" s="55"/>
    </row>
    <row r="405" spans="1:4" x14ac:dyDescent="0.25">
      <c r="A405" s="49">
        <f t="shared" si="6"/>
        <v>402</v>
      </c>
      <c r="B405" s="54"/>
      <c r="C405" s="52"/>
      <c r="D405" s="55"/>
    </row>
    <row r="406" spans="1:4" x14ac:dyDescent="0.25">
      <c r="A406" s="49">
        <f t="shared" si="6"/>
        <v>403</v>
      </c>
      <c r="B406" s="54"/>
      <c r="C406" s="52"/>
      <c r="D406" s="55"/>
    </row>
    <row r="407" spans="1:4" x14ac:dyDescent="0.25">
      <c r="A407" s="49">
        <f t="shared" si="6"/>
        <v>404</v>
      </c>
      <c r="B407" s="54"/>
      <c r="C407" s="52"/>
      <c r="D407" s="55"/>
    </row>
    <row r="408" spans="1:4" x14ac:dyDescent="0.25">
      <c r="A408" s="49">
        <f t="shared" si="6"/>
        <v>405</v>
      </c>
      <c r="B408" s="54"/>
      <c r="C408" s="52"/>
      <c r="D408" s="55"/>
    </row>
    <row r="409" spans="1:4" x14ac:dyDescent="0.25">
      <c r="A409" s="49">
        <f t="shared" si="6"/>
        <v>406</v>
      </c>
      <c r="B409" s="54"/>
      <c r="C409" s="52"/>
      <c r="D409" s="55"/>
    </row>
    <row r="410" spans="1:4" x14ac:dyDescent="0.25">
      <c r="A410" s="49">
        <f t="shared" si="6"/>
        <v>407</v>
      </c>
      <c r="B410" s="54"/>
      <c r="C410" s="52"/>
      <c r="D410" s="55"/>
    </row>
    <row r="411" spans="1:4" x14ac:dyDescent="0.25">
      <c r="A411" s="49">
        <f t="shared" si="6"/>
        <v>408</v>
      </c>
      <c r="B411" s="54"/>
      <c r="C411" s="52"/>
      <c r="D411" s="55"/>
    </row>
    <row r="412" spans="1:4" x14ac:dyDescent="0.25">
      <c r="A412" s="49">
        <f t="shared" si="6"/>
        <v>409</v>
      </c>
      <c r="B412" s="54"/>
      <c r="C412" s="52"/>
      <c r="D412" s="55"/>
    </row>
    <row r="413" spans="1:4" x14ac:dyDescent="0.25">
      <c r="A413" s="49">
        <f t="shared" si="6"/>
        <v>410</v>
      </c>
      <c r="B413" s="54"/>
      <c r="C413" s="52"/>
      <c r="D413" s="55"/>
    </row>
    <row r="414" spans="1:4" x14ac:dyDescent="0.25">
      <c r="A414" s="49">
        <f t="shared" si="6"/>
        <v>411</v>
      </c>
      <c r="B414" s="54"/>
      <c r="C414" s="52"/>
      <c r="D414" s="55"/>
    </row>
    <row r="415" spans="1:4" x14ac:dyDescent="0.25">
      <c r="A415" s="49">
        <f t="shared" si="6"/>
        <v>412</v>
      </c>
      <c r="B415" s="54"/>
      <c r="C415" s="52"/>
      <c r="D415" s="55"/>
    </row>
    <row r="416" spans="1:4" x14ac:dyDescent="0.25">
      <c r="A416" s="49">
        <f t="shared" si="6"/>
        <v>413</v>
      </c>
      <c r="B416" s="54"/>
      <c r="C416" s="52"/>
      <c r="D416" s="55"/>
    </row>
    <row r="417" spans="1:4" x14ac:dyDescent="0.25">
      <c r="A417" s="49">
        <f t="shared" si="6"/>
        <v>414</v>
      </c>
      <c r="B417" s="54"/>
      <c r="C417" s="52"/>
      <c r="D417" s="55"/>
    </row>
    <row r="418" spans="1:4" x14ac:dyDescent="0.25">
      <c r="A418" s="49">
        <f t="shared" si="6"/>
        <v>415</v>
      </c>
      <c r="B418" s="54"/>
      <c r="C418" s="52"/>
      <c r="D418" s="55"/>
    </row>
    <row r="419" spans="1:4" x14ac:dyDescent="0.25">
      <c r="A419" s="49">
        <f t="shared" si="6"/>
        <v>416</v>
      </c>
      <c r="B419" s="54"/>
      <c r="C419" s="52"/>
      <c r="D419" s="55"/>
    </row>
    <row r="420" spans="1:4" x14ac:dyDescent="0.25">
      <c r="A420" s="49">
        <f t="shared" si="6"/>
        <v>417</v>
      </c>
      <c r="B420" s="54"/>
      <c r="C420" s="52"/>
      <c r="D420" s="55"/>
    </row>
    <row r="421" spans="1:4" x14ac:dyDescent="0.25">
      <c r="A421" s="49">
        <f t="shared" si="6"/>
        <v>418</v>
      </c>
      <c r="B421" s="54"/>
      <c r="C421" s="52"/>
      <c r="D421" s="55"/>
    </row>
    <row r="422" spans="1:4" x14ac:dyDescent="0.25">
      <c r="A422" s="49">
        <f t="shared" si="6"/>
        <v>419</v>
      </c>
      <c r="B422" s="54"/>
      <c r="C422" s="52"/>
      <c r="D422" s="55"/>
    </row>
    <row r="423" spans="1:4" x14ac:dyDescent="0.25">
      <c r="A423" s="49">
        <f t="shared" si="6"/>
        <v>420</v>
      </c>
      <c r="B423" s="54"/>
      <c r="C423" s="52"/>
      <c r="D423" s="55"/>
    </row>
    <row r="424" spans="1:4" x14ac:dyDescent="0.25">
      <c r="A424" s="49">
        <f t="shared" si="6"/>
        <v>421</v>
      </c>
      <c r="B424" s="54"/>
      <c r="C424" s="52"/>
      <c r="D424" s="55"/>
    </row>
    <row r="425" spans="1:4" x14ac:dyDescent="0.25">
      <c r="A425" s="49">
        <f t="shared" si="6"/>
        <v>422</v>
      </c>
      <c r="B425" s="54"/>
      <c r="C425" s="52"/>
      <c r="D425" s="55"/>
    </row>
    <row r="426" spans="1:4" x14ac:dyDescent="0.25">
      <c r="A426" s="49">
        <f t="shared" si="6"/>
        <v>423</v>
      </c>
      <c r="B426" s="54"/>
      <c r="C426" s="52"/>
      <c r="D426" s="55"/>
    </row>
    <row r="427" spans="1:4" x14ac:dyDescent="0.25">
      <c r="A427" s="49">
        <f t="shared" si="6"/>
        <v>424</v>
      </c>
      <c r="B427" s="54"/>
      <c r="C427" s="52"/>
      <c r="D427" s="55"/>
    </row>
    <row r="428" spans="1:4" x14ac:dyDescent="0.25">
      <c r="A428" s="49">
        <f t="shared" si="6"/>
        <v>425</v>
      </c>
      <c r="B428" s="54"/>
      <c r="C428" s="52"/>
      <c r="D428" s="55"/>
    </row>
    <row r="429" spans="1:4" x14ac:dyDescent="0.25">
      <c r="A429" s="49">
        <f t="shared" si="6"/>
        <v>426</v>
      </c>
      <c r="B429" s="54"/>
      <c r="C429" s="52"/>
      <c r="D429" s="55"/>
    </row>
    <row r="430" spans="1:4" x14ac:dyDescent="0.25">
      <c r="A430" s="49">
        <f t="shared" si="6"/>
        <v>427</v>
      </c>
      <c r="B430" s="54"/>
      <c r="C430" s="52"/>
      <c r="D430" s="55"/>
    </row>
    <row r="431" spans="1:4" x14ac:dyDescent="0.25">
      <c r="A431" s="49">
        <f t="shared" si="6"/>
        <v>428</v>
      </c>
      <c r="B431" s="54"/>
      <c r="C431" s="52"/>
      <c r="D431" s="55"/>
    </row>
    <row r="432" spans="1:4" x14ac:dyDescent="0.25">
      <c r="A432" s="49">
        <f t="shared" si="6"/>
        <v>429</v>
      </c>
      <c r="B432" s="54"/>
      <c r="C432" s="52"/>
      <c r="D432" s="55"/>
    </row>
    <row r="433" spans="1:4" x14ac:dyDescent="0.25">
      <c r="A433" s="49">
        <f t="shared" si="6"/>
        <v>430</v>
      </c>
      <c r="B433" s="54"/>
      <c r="C433" s="52"/>
      <c r="D433" s="55"/>
    </row>
    <row r="434" spans="1:4" x14ac:dyDescent="0.25">
      <c r="A434" s="49">
        <f t="shared" si="6"/>
        <v>431</v>
      </c>
      <c r="B434" s="54"/>
      <c r="C434" s="52"/>
      <c r="D434" s="55"/>
    </row>
    <row r="435" spans="1:4" x14ac:dyDescent="0.25">
      <c r="A435" s="49">
        <f t="shared" si="6"/>
        <v>432</v>
      </c>
      <c r="B435" s="54"/>
      <c r="C435" s="52"/>
      <c r="D435" s="55"/>
    </row>
    <row r="436" spans="1:4" x14ac:dyDescent="0.25">
      <c r="A436" s="49">
        <f t="shared" si="6"/>
        <v>433</v>
      </c>
      <c r="B436" s="54"/>
      <c r="C436" s="52"/>
      <c r="D436" s="55"/>
    </row>
    <row r="437" spans="1:4" x14ac:dyDescent="0.25">
      <c r="A437" s="49">
        <f t="shared" si="6"/>
        <v>434</v>
      </c>
      <c r="B437" s="54"/>
      <c r="C437" s="52"/>
      <c r="D437" s="55"/>
    </row>
    <row r="438" spans="1:4" x14ac:dyDescent="0.25">
      <c r="A438" s="49">
        <f t="shared" si="6"/>
        <v>435</v>
      </c>
      <c r="B438" s="54"/>
      <c r="C438" s="52"/>
      <c r="D438" s="55"/>
    </row>
    <row r="439" spans="1:4" x14ac:dyDescent="0.25">
      <c r="A439" s="49">
        <f t="shared" si="6"/>
        <v>436</v>
      </c>
      <c r="B439" s="54"/>
      <c r="C439" s="52"/>
      <c r="D439" s="55"/>
    </row>
    <row r="440" spans="1:4" x14ac:dyDescent="0.25">
      <c r="A440" s="49">
        <f t="shared" si="6"/>
        <v>437</v>
      </c>
      <c r="B440" s="54"/>
      <c r="C440" s="52"/>
      <c r="D440" s="55"/>
    </row>
    <row r="441" spans="1:4" x14ac:dyDescent="0.25">
      <c r="A441" s="49">
        <f t="shared" si="6"/>
        <v>438</v>
      </c>
      <c r="B441" s="54"/>
      <c r="C441" s="52"/>
      <c r="D441" s="55"/>
    </row>
    <row r="442" spans="1:4" x14ac:dyDescent="0.25">
      <c r="A442" s="49">
        <f t="shared" si="6"/>
        <v>439</v>
      </c>
      <c r="B442" s="54"/>
      <c r="C442" s="52"/>
      <c r="D442" s="55"/>
    </row>
    <row r="443" spans="1:4" x14ac:dyDescent="0.25">
      <c r="A443" s="49">
        <f t="shared" si="6"/>
        <v>440</v>
      </c>
      <c r="B443" s="54"/>
      <c r="C443" s="52"/>
      <c r="D443" s="55"/>
    </row>
    <row r="444" spans="1:4" x14ac:dyDescent="0.25">
      <c r="A444" s="49">
        <f t="shared" si="6"/>
        <v>441</v>
      </c>
      <c r="B444" s="54"/>
      <c r="C444" s="52"/>
      <c r="D444" s="55"/>
    </row>
    <row r="445" spans="1:4" x14ac:dyDescent="0.25">
      <c r="A445" s="49">
        <f t="shared" si="6"/>
        <v>442</v>
      </c>
      <c r="B445" s="54"/>
      <c r="C445" s="52"/>
      <c r="D445" s="55"/>
    </row>
    <row r="446" spans="1:4" x14ac:dyDescent="0.25">
      <c r="A446" s="49">
        <f t="shared" si="6"/>
        <v>443</v>
      </c>
      <c r="B446" s="54"/>
      <c r="C446" s="52"/>
      <c r="D446" s="55"/>
    </row>
    <row r="447" spans="1:4" x14ac:dyDescent="0.25">
      <c r="A447" s="49">
        <f t="shared" si="6"/>
        <v>444</v>
      </c>
      <c r="B447" s="54"/>
      <c r="C447" s="52"/>
      <c r="D447" s="55"/>
    </row>
    <row r="448" spans="1:4" x14ac:dyDescent="0.25">
      <c r="A448" s="49">
        <f t="shared" si="6"/>
        <v>445</v>
      </c>
      <c r="B448" s="54"/>
      <c r="C448" s="52"/>
      <c r="D448" s="55"/>
    </row>
    <row r="449" spans="1:4" x14ac:dyDescent="0.25">
      <c r="A449" s="49">
        <f t="shared" si="6"/>
        <v>446</v>
      </c>
      <c r="B449" s="54"/>
      <c r="C449" s="52"/>
      <c r="D449" s="55"/>
    </row>
    <row r="450" spans="1:4" x14ac:dyDescent="0.25">
      <c r="A450" s="49">
        <f t="shared" si="6"/>
        <v>447</v>
      </c>
      <c r="B450" s="54"/>
      <c r="C450" s="52"/>
      <c r="D450" s="55"/>
    </row>
    <row r="451" spans="1:4" x14ac:dyDescent="0.25">
      <c r="A451" s="49">
        <f t="shared" si="6"/>
        <v>448</v>
      </c>
      <c r="B451" s="54"/>
      <c r="C451" s="52"/>
      <c r="D451" s="55"/>
    </row>
    <row r="452" spans="1:4" x14ac:dyDescent="0.25">
      <c r="A452" s="49">
        <f t="shared" ref="A452:A515" si="7">ROW()-3</f>
        <v>449</v>
      </c>
      <c r="B452" s="54"/>
      <c r="C452" s="52"/>
      <c r="D452" s="55"/>
    </row>
    <row r="453" spans="1:4" x14ac:dyDescent="0.25">
      <c r="A453" s="49">
        <f t="shared" si="7"/>
        <v>450</v>
      </c>
      <c r="B453" s="54"/>
      <c r="C453" s="52"/>
      <c r="D453" s="55"/>
    </row>
    <row r="454" spans="1:4" x14ac:dyDescent="0.25">
      <c r="A454" s="49">
        <f t="shared" si="7"/>
        <v>451</v>
      </c>
      <c r="B454" s="54"/>
      <c r="C454" s="52"/>
      <c r="D454" s="55"/>
    </row>
    <row r="455" spans="1:4" x14ac:dyDescent="0.25">
      <c r="A455" s="49">
        <f t="shared" si="7"/>
        <v>452</v>
      </c>
      <c r="B455" s="54"/>
      <c r="C455" s="52"/>
      <c r="D455" s="55"/>
    </row>
    <row r="456" spans="1:4" x14ac:dyDescent="0.25">
      <c r="A456" s="49">
        <f t="shared" si="7"/>
        <v>453</v>
      </c>
      <c r="B456" s="54"/>
      <c r="C456" s="52"/>
      <c r="D456" s="55"/>
    </row>
    <row r="457" spans="1:4" x14ac:dyDescent="0.25">
      <c r="A457" s="49">
        <f t="shared" si="7"/>
        <v>454</v>
      </c>
      <c r="B457" s="54"/>
      <c r="C457" s="52"/>
      <c r="D457" s="55"/>
    </row>
    <row r="458" spans="1:4" x14ac:dyDescent="0.25">
      <c r="A458" s="49">
        <f t="shared" si="7"/>
        <v>455</v>
      </c>
      <c r="B458" s="54"/>
      <c r="C458" s="52"/>
      <c r="D458" s="55"/>
    </row>
    <row r="459" spans="1:4" x14ac:dyDescent="0.25">
      <c r="A459" s="49">
        <f t="shared" si="7"/>
        <v>456</v>
      </c>
      <c r="B459" s="54"/>
      <c r="C459" s="52"/>
      <c r="D459" s="55"/>
    </row>
    <row r="460" spans="1:4" x14ac:dyDescent="0.25">
      <c r="A460" s="49">
        <f t="shared" si="7"/>
        <v>457</v>
      </c>
      <c r="B460" s="54"/>
      <c r="C460" s="52"/>
      <c r="D460" s="55"/>
    </row>
    <row r="461" spans="1:4" x14ac:dyDescent="0.25">
      <c r="A461" s="49">
        <f t="shared" si="7"/>
        <v>458</v>
      </c>
      <c r="B461" s="54"/>
      <c r="C461" s="52"/>
      <c r="D461" s="55"/>
    </row>
    <row r="462" spans="1:4" x14ac:dyDescent="0.25">
      <c r="A462" s="49">
        <f t="shared" si="7"/>
        <v>459</v>
      </c>
      <c r="B462" s="54"/>
      <c r="C462" s="52"/>
      <c r="D462" s="55"/>
    </row>
    <row r="463" spans="1:4" x14ac:dyDescent="0.25">
      <c r="A463" s="49">
        <f t="shared" si="7"/>
        <v>460</v>
      </c>
      <c r="B463" s="54"/>
      <c r="C463" s="52"/>
      <c r="D463" s="55"/>
    </row>
    <row r="464" spans="1:4" x14ac:dyDescent="0.25">
      <c r="A464" s="49">
        <f t="shared" si="7"/>
        <v>461</v>
      </c>
      <c r="B464" s="54"/>
      <c r="C464" s="52"/>
      <c r="D464" s="55"/>
    </row>
    <row r="465" spans="1:4" x14ac:dyDescent="0.25">
      <c r="A465" s="49">
        <f t="shared" si="7"/>
        <v>462</v>
      </c>
      <c r="B465" s="54"/>
      <c r="C465" s="52"/>
      <c r="D465" s="55"/>
    </row>
    <row r="466" spans="1:4" x14ac:dyDescent="0.25">
      <c r="A466" s="49">
        <f t="shared" si="7"/>
        <v>463</v>
      </c>
      <c r="B466" s="54"/>
      <c r="C466" s="52"/>
      <c r="D466" s="55"/>
    </row>
    <row r="467" spans="1:4" x14ac:dyDescent="0.25">
      <c r="A467" s="49">
        <f t="shared" si="7"/>
        <v>464</v>
      </c>
      <c r="B467" s="54"/>
      <c r="C467" s="52"/>
      <c r="D467" s="55"/>
    </row>
    <row r="468" spans="1:4" x14ac:dyDescent="0.25">
      <c r="A468" s="49">
        <f t="shared" si="7"/>
        <v>465</v>
      </c>
      <c r="B468" s="54"/>
      <c r="C468" s="52"/>
      <c r="D468" s="55"/>
    </row>
    <row r="469" spans="1:4" x14ac:dyDescent="0.25">
      <c r="A469" s="49">
        <f t="shared" si="7"/>
        <v>466</v>
      </c>
      <c r="B469" s="54"/>
      <c r="C469" s="52"/>
      <c r="D469" s="55"/>
    </row>
    <row r="470" spans="1:4" x14ac:dyDescent="0.25">
      <c r="A470" s="49">
        <f t="shared" si="7"/>
        <v>467</v>
      </c>
      <c r="B470" s="54"/>
      <c r="C470" s="52"/>
      <c r="D470" s="55"/>
    </row>
    <row r="471" spans="1:4" x14ac:dyDescent="0.25">
      <c r="A471" s="49">
        <f t="shared" si="7"/>
        <v>468</v>
      </c>
      <c r="B471" s="54"/>
      <c r="C471" s="52"/>
      <c r="D471" s="55"/>
    </row>
    <row r="472" spans="1:4" x14ac:dyDescent="0.25">
      <c r="A472" s="49">
        <f t="shared" si="7"/>
        <v>469</v>
      </c>
      <c r="B472" s="54"/>
      <c r="C472" s="52"/>
      <c r="D472" s="55"/>
    </row>
    <row r="473" spans="1:4" x14ac:dyDescent="0.25">
      <c r="A473" s="49">
        <f t="shared" si="7"/>
        <v>470</v>
      </c>
      <c r="B473" s="54"/>
      <c r="C473" s="52"/>
      <c r="D473" s="55"/>
    </row>
    <row r="474" spans="1:4" x14ac:dyDescent="0.25">
      <c r="A474" s="49">
        <f t="shared" si="7"/>
        <v>471</v>
      </c>
      <c r="B474" s="54"/>
      <c r="C474" s="52"/>
      <c r="D474" s="55"/>
    </row>
    <row r="475" spans="1:4" x14ac:dyDescent="0.25">
      <c r="A475" s="49">
        <f t="shared" si="7"/>
        <v>472</v>
      </c>
      <c r="B475" s="54"/>
      <c r="C475" s="52"/>
      <c r="D475" s="55"/>
    </row>
    <row r="476" spans="1:4" x14ac:dyDescent="0.25">
      <c r="A476" s="49">
        <f t="shared" si="7"/>
        <v>473</v>
      </c>
      <c r="B476" s="54"/>
      <c r="C476" s="52"/>
      <c r="D476" s="55"/>
    </row>
    <row r="477" spans="1:4" x14ac:dyDescent="0.25">
      <c r="A477" s="49">
        <f t="shared" si="7"/>
        <v>474</v>
      </c>
      <c r="B477" s="54"/>
      <c r="C477" s="52"/>
      <c r="D477" s="55"/>
    </row>
    <row r="478" spans="1:4" x14ac:dyDescent="0.25">
      <c r="A478" s="49">
        <f t="shared" si="7"/>
        <v>475</v>
      </c>
      <c r="B478" s="54"/>
      <c r="C478" s="52"/>
      <c r="D478" s="55"/>
    </row>
    <row r="479" spans="1:4" x14ac:dyDescent="0.25">
      <c r="A479" s="49">
        <f t="shared" si="7"/>
        <v>476</v>
      </c>
      <c r="B479" s="54"/>
      <c r="C479" s="52"/>
      <c r="D479" s="55"/>
    </row>
    <row r="480" spans="1:4" x14ac:dyDescent="0.25">
      <c r="A480" s="49">
        <f t="shared" si="7"/>
        <v>477</v>
      </c>
      <c r="B480" s="54"/>
      <c r="C480" s="52"/>
      <c r="D480" s="55"/>
    </row>
    <row r="481" spans="1:4" x14ac:dyDescent="0.25">
      <c r="A481" s="49">
        <f t="shared" si="7"/>
        <v>478</v>
      </c>
      <c r="B481" s="54"/>
      <c r="C481" s="52"/>
      <c r="D481" s="55"/>
    </row>
    <row r="482" spans="1:4" x14ac:dyDescent="0.25">
      <c r="A482" s="49">
        <f t="shared" si="7"/>
        <v>479</v>
      </c>
      <c r="B482" s="54"/>
      <c r="C482" s="52"/>
      <c r="D482" s="55"/>
    </row>
    <row r="483" spans="1:4" x14ac:dyDescent="0.25">
      <c r="A483" s="49">
        <f t="shared" si="7"/>
        <v>480</v>
      </c>
      <c r="B483" s="54"/>
      <c r="C483" s="52"/>
      <c r="D483" s="55"/>
    </row>
    <row r="484" spans="1:4" x14ac:dyDescent="0.25">
      <c r="A484" s="49">
        <f t="shared" si="7"/>
        <v>481</v>
      </c>
      <c r="B484" s="54"/>
      <c r="C484" s="52"/>
      <c r="D484" s="55"/>
    </row>
    <row r="485" spans="1:4" x14ac:dyDescent="0.25">
      <c r="A485" s="49">
        <f t="shared" si="7"/>
        <v>482</v>
      </c>
      <c r="B485" s="54"/>
      <c r="C485" s="52"/>
      <c r="D485" s="55"/>
    </row>
    <row r="486" spans="1:4" x14ac:dyDescent="0.25">
      <c r="A486" s="49">
        <f t="shared" si="7"/>
        <v>483</v>
      </c>
      <c r="B486" s="54"/>
      <c r="C486" s="52"/>
      <c r="D486" s="55"/>
    </row>
    <row r="487" spans="1:4" x14ac:dyDescent="0.25">
      <c r="A487" s="49">
        <f t="shared" si="7"/>
        <v>484</v>
      </c>
      <c r="B487" s="54"/>
      <c r="C487" s="52"/>
      <c r="D487" s="55"/>
    </row>
    <row r="488" spans="1:4" x14ac:dyDescent="0.25">
      <c r="A488" s="49">
        <f t="shared" si="7"/>
        <v>485</v>
      </c>
      <c r="B488" s="54"/>
      <c r="C488" s="52"/>
      <c r="D488" s="55"/>
    </row>
    <row r="489" spans="1:4" x14ac:dyDescent="0.25">
      <c r="A489" s="49">
        <f t="shared" si="7"/>
        <v>486</v>
      </c>
      <c r="B489" s="54"/>
      <c r="C489" s="52"/>
      <c r="D489" s="55"/>
    </row>
    <row r="490" spans="1:4" x14ac:dyDescent="0.25">
      <c r="A490" s="49">
        <f t="shared" si="7"/>
        <v>487</v>
      </c>
      <c r="B490" s="54"/>
      <c r="C490" s="52"/>
      <c r="D490" s="55"/>
    </row>
    <row r="491" spans="1:4" x14ac:dyDescent="0.25">
      <c r="A491" s="49">
        <f t="shared" si="7"/>
        <v>488</v>
      </c>
      <c r="B491" s="54"/>
      <c r="C491" s="52"/>
      <c r="D491" s="55"/>
    </row>
    <row r="492" spans="1:4" x14ac:dyDescent="0.25">
      <c r="A492" s="49">
        <f t="shared" si="7"/>
        <v>489</v>
      </c>
      <c r="B492" s="54"/>
      <c r="C492" s="52"/>
      <c r="D492" s="55"/>
    </row>
    <row r="493" spans="1:4" x14ac:dyDescent="0.25">
      <c r="A493" s="49">
        <f t="shared" si="7"/>
        <v>490</v>
      </c>
      <c r="B493" s="54"/>
      <c r="C493" s="52"/>
      <c r="D493" s="55"/>
    </row>
    <row r="494" spans="1:4" x14ac:dyDescent="0.25">
      <c r="A494" s="49">
        <f t="shared" si="7"/>
        <v>491</v>
      </c>
      <c r="B494" s="54"/>
      <c r="C494" s="52"/>
      <c r="D494" s="55"/>
    </row>
    <row r="495" spans="1:4" x14ac:dyDescent="0.25">
      <c r="A495" s="49">
        <f t="shared" si="7"/>
        <v>492</v>
      </c>
      <c r="B495" s="54"/>
      <c r="C495" s="52"/>
      <c r="D495" s="55"/>
    </row>
    <row r="496" spans="1:4" x14ac:dyDescent="0.25">
      <c r="A496" s="49">
        <f t="shared" si="7"/>
        <v>493</v>
      </c>
      <c r="B496" s="54"/>
      <c r="C496" s="52"/>
      <c r="D496" s="55"/>
    </row>
    <row r="497" spans="1:4" x14ac:dyDescent="0.25">
      <c r="A497" s="49">
        <f t="shared" si="7"/>
        <v>494</v>
      </c>
      <c r="B497" s="54"/>
      <c r="C497" s="52"/>
      <c r="D497" s="55"/>
    </row>
    <row r="498" spans="1:4" x14ac:dyDescent="0.25">
      <c r="A498" s="49">
        <f t="shared" si="7"/>
        <v>495</v>
      </c>
      <c r="B498" s="54"/>
      <c r="C498" s="52"/>
      <c r="D498" s="55"/>
    </row>
    <row r="499" spans="1:4" x14ac:dyDescent="0.25">
      <c r="A499" s="49">
        <f t="shared" si="7"/>
        <v>496</v>
      </c>
      <c r="B499" s="54"/>
      <c r="C499" s="52"/>
      <c r="D499" s="55"/>
    </row>
    <row r="500" spans="1:4" x14ac:dyDescent="0.25">
      <c r="A500" s="49">
        <f t="shared" si="7"/>
        <v>497</v>
      </c>
      <c r="B500" s="54"/>
      <c r="C500" s="52"/>
      <c r="D500" s="55"/>
    </row>
    <row r="501" spans="1:4" x14ac:dyDescent="0.25">
      <c r="A501" s="49">
        <f t="shared" si="7"/>
        <v>498</v>
      </c>
      <c r="B501" s="54"/>
      <c r="C501" s="52"/>
      <c r="D501" s="55"/>
    </row>
    <row r="502" spans="1:4" x14ac:dyDescent="0.25">
      <c r="A502" s="49">
        <f t="shared" si="7"/>
        <v>499</v>
      </c>
      <c r="B502" s="54"/>
      <c r="C502" s="52"/>
      <c r="D502" s="55"/>
    </row>
    <row r="503" spans="1:4" x14ac:dyDescent="0.25">
      <c r="A503" s="49">
        <f t="shared" si="7"/>
        <v>500</v>
      </c>
      <c r="B503" s="54"/>
      <c r="C503" s="52"/>
      <c r="D503" s="55"/>
    </row>
    <row r="504" spans="1:4" x14ac:dyDescent="0.25">
      <c r="A504" s="49">
        <f t="shared" si="7"/>
        <v>501</v>
      </c>
      <c r="B504" s="54"/>
      <c r="C504" s="52"/>
      <c r="D504" s="55"/>
    </row>
    <row r="505" spans="1:4" x14ac:dyDescent="0.25">
      <c r="A505" s="49">
        <f t="shared" si="7"/>
        <v>502</v>
      </c>
      <c r="B505" s="54"/>
      <c r="C505" s="52"/>
      <c r="D505" s="55"/>
    </row>
    <row r="506" spans="1:4" x14ac:dyDescent="0.25">
      <c r="A506" s="49">
        <f t="shared" si="7"/>
        <v>503</v>
      </c>
      <c r="B506" s="54"/>
      <c r="C506" s="52"/>
      <c r="D506" s="55"/>
    </row>
    <row r="507" spans="1:4" x14ac:dyDescent="0.25">
      <c r="A507" s="49">
        <f t="shared" si="7"/>
        <v>504</v>
      </c>
      <c r="B507" s="54"/>
      <c r="C507" s="52"/>
      <c r="D507" s="55"/>
    </row>
    <row r="508" spans="1:4" x14ac:dyDescent="0.25">
      <c r="A508" s="49">
        <f t="shared" si="7"/>
        <v>505</v>
      </c>
      <c r="B508" s="54"/>
      <c r="C508" s="52"/>
      <c r="D508" s="55"/>
    </row>
    <row r="509" spans="1:4" x14ac:dyDescent="0.25">
      <c r="A509" s="49">
        <f t="shared" si="7"/>
        <v>506</v>
      </c>
      <c r="B509" s="54"/>
      <c r="C509" s="52"/>
      <c r="D509" s="55"/>
    </row>
    <row r="510" spans="1:4" x14ac:dyDescent="0.25">
      <c r="A510" s="49">
        <f t="shared" si="7"/>
        <v>507</v>
      </c>
      <c r="B510" s="54"/>
      <c r="C510" s="52"/>
      <c r="D510" s="55"/>
    </row>
    <row r="511" spans="1:4" x14ac:dyDescent="0.25">
      <c r="A511" s="49">
        <f t="shared" si="7"/>
        <v>508</v>
      </c>
      <c r="B511" s="54"/>
      <c r="C511" s="52"/>
      <c r="D511" s="55"/>
    </row>
    <row r="512" spans="1:4" x14ac:dyDescent="0.25">
      <c r="A512" s="49">
        <f t="shared" si="7"/>
        <v>509</v>
      </c>
      <c r="B512" s="54"/>
      <c r="C512" s="52"/>
      <c r="D512" s="55"/>
    </row>
    <row r="513" spans="1:4" x14ac:dyDescent="0.25">
      <c r="A513" s="49">
        <f t="shared" si="7"/>
        <v>510</v>
      </c>
      <c r="B513" s="54"/>
      <c r="C513" s="52"/>
      <c r="D513" s="55"/>
    </row>
    <row r="514" spans="1:4" x14ac:dyDescent="0.25">
      <c r="A514" s="49">
        <f t="shared" si="7"/>
        <v>511</v>
      </c>
      <c r="B514" s="54"/>
      <c r="C514" s="52"/>
      <c r="D514" s="55"/>
    </row>
    <row r="515" spans="1:4" x14ac:dyDescent="0.25">
      <c r="A515" s="49">
        <f t="shared" si="7"/>
        <v>512</v>
      </c>
      <c r="B515" s="54"/>
      <c r="C515" s="52"/>
      <c r="D515" s="55"/>
    </row>
    <row r="516" spans="1:4" x14ac:dyDescent="0.25">
      <c r="A516" s="49">
        <f t="shared" ref="A516:A579" si="8">ROW()-3</f>
        <v>513</v>
      </c>
      <c r="B516" s="54"/>
      <c r="C516" s="52"/>
      <c r="D516" s="55"/>
    </row>
    <row r="517" spans="1:4" x14ac:dyDescent="0.25">
      <c r="A517" s="49">
        <f t="shared" si="8"/>
        <v>514</v>
      </c>
      <c r="B517" s="54"/>
      <c r="C517" s="52"/>
      <c r="D517" s="55"/>
    </row>
    <row r="518" spans="1:4" x14ac:dyDescent="0.25">
      <c r="A518" s="49">
        <f t="shared" si="8"/>
        <v>515</v>
      </c>
      <c r="B518" s="54"/>
      <c r="C518" s="52"/>
      <c r="D518" s="55"/>
    </row>
    <row r="519" spans="1:4" x14ac:dyDescent="0.25">
      <c r="A519" s="49">
        <f t="shared" si="8"/>
        <v>516</v>
      </c>
      <c r="B519" s="54"/>
      <c r="C519" s="52"/>
      <c r="D519" s="55"/>
    </row>
    <row r="520" spans="1:4" x14ac:dyDescent="0.25">
      <c r="A520" s="49">
        <f t="shared" si="8"/>
        <v>517</v>
      </c>
      <c r="B520" s="54"/>
      <c r="C520" s="52"/>
      <c r="D520" s="55"/>
    </row>
    <row r="521" spans="1:4" x14ac:dyDescent="0.25">
      <c r="A521" s="49">
        <f t="shared" si="8"/>
        <v>518</v>
      </c>
      <c r="B521" s="54"/>
      <c r="C521" s="52"/>
      <c r="D521" s="55"/>
    </row>
    <row r="522" spans="1:4" x14ac:dyDescent="0.25">
      <c r="A522" s="49">
        <f t="shared" si="8"/>
        <v>519</v>
      </c>
      <c r="B522" s="54"/>
      <c r="C522" s="52"/>
      <c r="D522" s="55"/>
    </row>
    <row r="523" spans="1:4" x14ac:dyDescent="0.25">
      <c r="A523" s="49">
        <f t="shared" si="8"/>
        <v>520</v>
      </c>
      <c r="B523" s="54"/>
      <c r="C523" s="52"/>
      <c r="D523" s="55"/>
    </row>
    <row r="524" spans="1:4" x14ac:dyDescent="0.25">
      <c r="A524" s="49">
        <f t="shared" si="8"/>
        <v>521</v>
      </c>
      <c r="B524" s="54"/>
      <c r="C524" s="52"/>
      <c r="D524" s="55"/>
    </row>
    <row r="525" spans="1:4" x14ac:dyDescent="0.25">
      <c r="A525" s="49">
        <f t="shared" si="8"/>
        <v>522</v>
      </c>
      <c r="B525" s="54"/>
      <c r="C525" s="52"/>
      <c r="D525" s="55"/>
    </row>
    <row r="526" spans="1:4" x14ac:dyDescent="0.25">
      <c r="A526" s="49">
        <f t="shared" si="8"/>
        <v>523</v>
      </c>
      <c r="B526" s="54"/>
      <c r="C526" s="52"/>
      <c r="D526" s="55"/>
    </row>
    <row r="527" spans="1:4" x14ac:dyDescent="0.25">
      <c r="A527" s="49">
        <f t="shared" si="8"/>
        <v>524</v>
      </c>
      <c r="B527" s="54"/>
      <c r="C527" s="52"/>
      <c r="D527" s="55"/>
    </row>
    <row r="528" spans="1:4" x14ac:dyDescent="0.25">
      <c r="A528" s="49">
        <f t="shared" si="8"/>
        <v>525</v>
      </c>
      <c r="B528" s="54"/>
      <c r="C528" s="52"/>
      <c r="D528" s="55"/>
    </row>
    <row r="529" spans="1:4" x14ac:dyDescent="0.25">
      <c r="A529" s="49">
        <f t="shared" si="8"/>
        <v>526</v>
      </c>
      <c r="B529" s="54"/>
      <c r="C529" s="52"/>
      <c r="D529" s="55"/>
    </row>
    <row r="530" spans="1:4" x14ac:dyDescent="0.25">
      <c r="A530" s="49">
        <f t="shared" si="8"/>
        <v>527</v>
      </c>
      <c r="B530" s="54"/>
      <c r="C530" s="52"/>
      <c r="D530" s="55"/>
    </row>
    <row r="531" spans="1:4" x14ac:dyDescent="0.25">
      <c r="A531" s="49">
        <f t="shared" si="8"/>
        <v>528</v>
      </c>
      <c r="B531" s="54"/>
      <c r="C531" s="52"/>
      <c r="D531" s="55"/>
    </row>
    <row r="532" spans="1:4" x14ac:dyDescent="0.25">
      <c r="A532" s="49">
        <f t="shared" si="8"/>
        <v>529</v>
      </c>
      <c r="B532" s="54"/>
      <c r="C532" s="52"/>
      <c r="D532" s="55"/>
    </row>
    <row r="533" spans="1:4" x14ac:dyDescent="0.25">
      <c r="A533" s="49">
        <f t="shared" si="8"/>
        <v>530</v>
      </c>
      <c r="B533" s="54"/>
      <c r="C533" s="52"/>
      <c r="D533" s="55"/>
    </row>
    <row r="534" spans="1:4" x14ac:dyDescent="0.25">
      <c r="A534" s="49">
        <f t="shared" si="8"/>
        <v>531</v>
      </c>
      <c r="B534" s="54"/>
      <c r="C534" s="52"/>
      <c r="D534" s="55"/>
    </row>
    <row r="535" spans="1:4" x14ac:dyDescent="0.25">
      <c r="A535" s="49">
        <f t="shared" si="8"/>
        <v>532</v>
      </c>
      <c r="B535" s="54"/>
      <c r="C535" s="52"/>
      <c r="D535" s="55"/>
    </row>
    <row r="536" spans="1:4" x14ac:dyDescent="0.25">
      <c r="A536" s="49">
        <f t="shared" si="8"/>
        <v>533</v>
      </c>
      <c r="B536" s="54"/>
      <c r="C536" s="52"/>
      <c r="D536" s="55"/>
    </row>
    <row r="537" spans="1:4" x14ac:dyDescent="0.25">
      <c r="A537" s="49">
        <f t="shared" si="8"/>
        <v>534</v>
      </c>
      <c r="B537" s="54"/>
      <c r="C537" s="52"/>
      <c r="D537" s="55"/>
    </row>
    <row r="538" spans="1:4" x14ac:dyDescent="0.25">
      <c r="A538" s="49">
        <f t="shared" si="8"/>
        <v>535</v>
      </c>
      <c r="B538" s="54"/>
      <c r="C538" s="52"/>
      <c r="D538" s="55"/>
    </row>
    <row r="539" spans="1:4" x14ac:dyDescent="0.25">
      <c r="A539" s="49">
        <f t="shared" si="8"/>
        <v>536</v>
      </c>
      <c r="B539" s="54"/>
      <c r="C539" s="52"/>
      <c r="D539" s="55"/>
    </row>
    <row r="540" spans="1:4" x14ac:dyDescent="0.25">
      <c r="A540" s="49">
        <f t="shared" si="8"/>
        <v>537</v>
      </c>
      <c r="B540" s="54"/>
      <c r="C540" s="52"/>
      <c r="D540" s="55"/>
    </row>
    <row r="541" spans="1:4" x14ac:dyDescent="0.25">
      <c r="A541" s="49">
        <f t="shared" si="8"/>
        <v>538</v>
      </c>
      <c r="B541" s="54"/>
      <c r="C541" s="52"/>
      <c r="D541" s="55"/>
    </row>
    <row r="542" spans="1:4" x14ac:dyDescent="0.25">
      <c r="A542" s="49">
        <f t="shared" si="8"/>
        <v>539</v>
      </c>
      <c r="B542" s="54"/>
      <c r="C542" s="52"/>
      <c r="D542" s="55"/>
    </row>
    <row r="543" spans="1:4" x14ac:dyDescent="0.25">
      <c r="A543" s="49">
        <f t="shared" si="8"/>
        <v>540</v>
      </c>
      <c r="B543" s="54"/>
      <c r="C543" s="52"/>
      <c r="D543" s="55"/>
    </row>
    <row r="544" spans="1:4" x14ac:dyDescent="0.25">
      <c r="A544" s="49">
        <f t="shared" si="8"/>
        <v>541</v>
      </c>
      <c r="B544" s="54"/>
      <c r="C544" s="52"/>
      <c r="D544" s="55"/>
    </row>
    <row r="545" spans="1:4" x14ac:dyDescent="0.25">
      <c r="A545" s="49">
        <f t="shared" si="8"/>
        <v>542</v>
      </c>
      <c r="B545" s="54"/>
      <c r="C545" s="52"/>
      <c r="D545" s="55"/>
    </row>
    <row r="546" spans="1:4" x14ac:dyDescent="0.25">
      <c r="A546" s="49">
        <f t="shared" si="8"/>
        <v>543</v>
      </c>
      <c r="B546" s="54"/>
      <c r="C546" s="52"/>
      <c r="D546" s="55"/>
    </row>
    <row r="547" spans="1:4" x14ac:dyDescent="0.25">
      <c r="A547" s="49">
        <f t="shared" si="8"/>
        <v>544</v>
      </c>
      <c r="B547" s="54"/>
      <c r="C547" s="52"/>
      <c r="D547" s="55"/>
    </row>
    <row r="548" spans="1:4" x14ac:dyDescent="0.25">
      <c r="A548" s="49">
        <f t="shared" si="8"/>
        <v>545</v>
      </c>
      <c r="B548" s="54"/>
      <c r="C548" s="52"/>
      <c r="D548" s="55"/>
    </row>
    <row r="549" spans="1:4" x14ac:dyDescent="0.25">
      <c r="A549" s="49">
        <f t="shared" si="8"/>
        <v>546</v>
      </c>
      <c r="B549" s="54"/>
      <c r="C549" s="52"/>
      <c r="D549" s="55"/>
    </row>
    <row r="550" spans="1:4" x14ac:dyDescent="0.25">
      <c r="A550" s="49">
        <f t="shared" si="8"/>
        <v>547</v>
      </c>
      <c r="B550" s="54"/>
      <c r="C550" s="52"/>
      <c r="D550" s="55"/>
    </row>
    <row r="551" spans="1:4" x14ac:dyDescent="0.25">
      <c r="A551" s="49">
        <f t="shared" si="8"/>
        <v>548</v>
      </c>
      <c r="B551" s="54"/>
      <c r="C551" s="52"/>
      <c r="D551" s="55"/>
    </row>
    <row r="552" spans="1:4" x14ac:dyDescent="0.25">
      <c r="A552" s="49">
        <f t="shared" si="8"/>
        <v>549</v>
      </c>
      <c r="B552" s="54"/>
      <c r="C552" s="52"/>
      <c r="D552" s="55"/>
    </row>
    <row r="553" spans="1:4" x14ac:dyDescent="0.25">
      <c r="A553" s="49">
        <f t="shared" si="8"/>
        <v>550</v>
      </c>
      <c r="B553" s="54"/>
      <c r="C553" s="52"/>
      <c r="D553" s="55"/>
    </row>
    <row r="554" spans="1:4" x14ac:dyDescent="0.25">
      <c r="A554" s="49">
        <f t="shared" si="8"/>
        <v>551</v>
      </c>
      <c r="B554" s="54"/>
      <c r="C554" s="52"/>
      <c r="D554" s="55"/>
    </row>
    <row r="555" spans="1:4" x14ac:dyDescent="0.25">
      <c r="A555" s="49">
        <f t="shared" si="8"/>
        <v>552</v>
      </c>
      <c r="B555" s="54"/>
      <c r="C555" s="52"/>
      <c r="D555" s="55"/>
    </row>
    <row r="556" spans="1:4" x14ac:dyDescent="0.25">
      <c r="A556" s="49">
        <f t="shared" si="8"/>
        <v>553</v>
      </c>
      <c r="B556" s="54"/>
      <c r="C556" s="52"/>
      <c r="D556" s="55"/>
    </row>
    <row r="557" spans="1:4" x14ac:dyDescent="0.25">
      <c r="A557" s="49">
        <f t="shared" si="8"/>
        <v>554</v>
      </c>
      <c r="B557" s="54"/>
      <c r="C557" s="52"/>
      <c r="D557" s="55"/>
    </row>
    <row r="558" spans="1:4" x14ac:dyDescent="0.25">
      <c r="A558" s="49">
        <f t="shared" si="8"/>
        <v>555</v>
      </c>
      <c r="B558" s="54"/>
      <c r="C558" s="52"/>
      <c r="D558" s="55"/>
    </row>
    <row r="559" spans="1:4" x14ac:dyDescent="0.25">
      <c r="A559" s="49">
        <f t="shared" si="8"/>
        <v>556</v>
      </c>
      <c r="B559" s="54"/>
      <c r="C559" s="52"/>
      <c r="D559" s="55"/>
    </row>
    <row r="560" spans="1:4" x14ac:dyDescent="0.25">
      <c r="A560" s="49">
        <f t="shared" si="8"/>
        <v>557</v>
      </c>
      <c r="B560" s="54"/>
      <c r="C560" s="52"/>
      <c r="D560" s="55"/>
    </row>
    <row r="561" spans="1:4" x14ac:dyDescent="0.25">
      <c r="A561" s="49">
        <f t="shared" si="8"/>
        <v>558</v>
      </c>
      <c r="B561" s="54"/>
      <c r="C561" s="52"/>
      <c r="D561" s="55"/>
    </row>
    <row r="562" spans="1:4" x14ac:dyDescent="0.25">
      <c r="A562" s="49">
        <f t="shared" si="8"/>
        <v>559</v>
      </c>
      <c r="B562" s="54"/>
      <c r="C562" s="52"/>
      <c r="D562" s="55"/>
    </row>
    <row r="563" spans="1:4" x14ac:dyDescent="0.25">
      <c r="A563" s="49">
        <f t="shared" si="8"/>
        <v>560</v>
      </c>
      <c r="B563" s="54"/>
      <c r="C563" s="52"/>
      <c r="D563" s="55"/>
    </row>
    <row r="564" spans="1:4" x14ac:dyDescent="0.25">
      <c r="A564" s="49">
        <f t="shared" si="8"/>
        <v>561</v>
      </c>
      <c r="B564" s="54"/>
      <c r="C564" s="52"/>
      <c r="D564" s="55"/>
    </row>
    <row r="565" spans="1:4" x14ac:dyDescent="0.25">
      <c r="A565" s="49">
        <f t="shared" si="8"/>
        <v>562</v>
      </c>
      <c r="B565" s="54"/>
      <c r="C565" s="52"/>
      <c r="D565" s="55"/>
    </row>
    <row r="566" spans="1:4" x14ac:dyDescent="0.25">
      <c r="A566" s="49">
        <f t="shared" si="8"/>
        <v>563</v>
      </c>
      <c r="B566" s="54"/>
      <c r="C566" s="52"/>
      <c r="D566" s="55"/>
    </row>
    <row r="567" spans="1:4" x14ac:dyDescent="0.25">
      <c r="A567" s="49">
        <f t="shared" si="8"/>
        <v>564</v>
      </c>
      <c r="B567" s="54"/>
      <c r="C567" s="52"/>
      <c r="D567" s="55"/>
    </row>
    <row r="568" spans="1:4" x14ac:dyDescent="0.25">
      <c r="A568" s="49">
        <f t="shared" si="8"/>
        <v>565</v>
      </c>
      <c r="B568" s="54"/>
      <c r="C568" s="52"/>
      <c r="D568" s="55"/>
    </row>
    <row r="569" spans="1:4" x14ac:dyDescent="0.25">
      <c r="A569" s="49">
        <f t="shared" si="8"/>
        <v>566</v>
      </c>
      <c r="B569" s="54"/>
      <c r="C569" s="52"/>
      <c r="D569" s="55"/>
    </row>
    <row r="570" spans="1:4" x14ac:dyDescent="0.25">
      <c r="A570" s="49">
        <f t="shared" si="8"/>
        <v>567</v>
      </c>
      <c r="B570" s="54"/>
      <c r="C570" s="52"/>
      <c r="D570" s="55"/>
    </row>
    <row r="571" spans="1:4" x14ac:dyDescent="0.25">
      <c r="A571" s="49">
        <f t="shared" si="8"/>
        <v>568</v>
      </c>
      <c r="B571" s="54"/>
      <c r="C571" s="52"/>
      <c r="D571" s="55"/>
    </row>
    <row r="572" spans="1:4" x14ac:dyDescent="0.25">
      <c r="A572" s="49">
        <f t="shared" si="8"/>
        <v>569</v>
      </c>
      <c r="B572" s="54"/>
      <c r="C572" s="52"/>
      <c r="D572" s="55"/>
    </row>
    <row r="573" spans="1:4" x14ac:dyDescent="0.25">
      <c r="A573" s="49">
        <f t="shared" si="8"/>
        <v>570</v>
      </c>
      <c r="B573" s="54"/>
      <c r="C573" s="52"/>
      <c r="D573" s="55"/>
    </row>
    <row r="574" spans="1:4" x14ac:dyDescent="0.25">
      <c r="A574" s="49">
        <f t="shared" si="8"/>
        <v>571</v>
      </c>
      <c r="B574" s="54"/>
      <c r="C574" s="52"/>
      <c r="D574" s="55"/>
    </row>
    <row r="575" spans="1:4" x14ac:dyDescent="0.25">
      <c r="A575" s="49">
        <f t="shared" si="8"/>
        <v>572</v>
      </c>
      <c r="B575" s="54"/>
      <c r="C575" s="52"/>
      <c r="D575" s="55"/>
    </row>
    <row r="576" spans="1:4" x14ac:dyDescent="0.25">
      <c r="A576" s="49">
        <f t="shared" si="8"/>
        <v>573</v>
      </c>
      <c r="B576" s="54"/>
      <c r="C576" s="52"/>
      <c r="D576" s="55"/>
    </row>
    <row r="577" spans="1:4" x14ac:dyDescent="0.25">
      <c r="A577" s="49">
        <f t="shared" si="8"/>
        <v>574</v>
      </c>
      <c r="B577" s="54"/>
      <c r="C577" s="52"/>
      <c r="D577" s="55"/>
    </row>
    <row r="578" spans="1:4" x14ac:dyDescent="0.25">
      <c r="A578" s="49">
        <f t="shared" si="8"/>
        <v>575</v>
      </c>
      <c r="B578" s="54"/>
      <c r="C578" s="52"/>
      <c r="D578" s="55"/>
    </row>
    <row r="579" spans="1:4" x14ac:dyDescent="0.25">
      <c r="A579" s="49">
        <f t="shared" si="8"/>
        <v>576</v>
      </c>
      <c r="B579" s="54"/>
      <c r="C579" s="52"/>
      <c r="D579" s="55"/>
    </row>
    <row r="580" spans="1:4" x14ac:dyDescent="0.25">
      <c r="A580" s="49">
        <f t="shared" ref="A580:A643" si="9">ROW()-3</f>
        <v>577</v>
      </c>
      <c r="B580" s="54"/>
      <c r="C580" s="52"/>
      <c r="D580" s="55"/>
    </row>
    <row r="581" spans="1:4" x14ac:dyDescent="0.25">
      <c r="A581" s="49">
        <f t="shared" si="9"/>
        <v>578</v>
      </c>
      <c r="B581" s="54"/>
      <c r="C581" s="52"/>
      <c r="D581" s="55"/>
    </row>
    <row r="582" spans="1:4" x14ac:dyDescent="0.25">
      <c r="A582" s="49">
        <f t="shared" si="9"/>
        <v>579</v>
      </c>
      <c r="B582" s="54"/>
      <c r="C582" s="52"/>
      <c r="D582" s="55"/>
    </row>
    <row r="583" spans="1:4" x14ac:dyDescent="0.25">
      <c r="A583" s="49">
        <f t="shared" si="9"/>
        <v>580</v>
      </c>
      <c r="B583" s="54"/>
      <c r="C583" s="52"/>
      <c r="D583" s="55"/>
    </row>
    <row r="584" spans="1:4" x14ac:dyDescent="0.25">
      <c r="A584" s="49">
        <f t="shared" si="9"/>
        <v>581</v>
      </c>
      <c r="B584" s="54"/>
      <c r="C584" s="52"/>
      <c r="D584" s="55"/>
    </row>
    <row r="585" spans="1:4" x14ac:dyDescent="0.25">
      <c r="A585" s="49">
        <f t="shared" si="9"/>
        <v>582</v>
      </c>
      <c r="B585" s="54"/>
      <c r="C585" s="52"/>
      <c r="D585" s="55"/>
    </row>
    <row r="586" spans="1:4" x14ac:dyDescent="0.25">
      <c r="A586" s="49">
        <f t="shared" si="9"/>
        <v>583</v>
      </c>
      <c r="B586" s="54"/>
      <c r="C586" s="52"/>
      <c r="D586" s="55"/>
    </row>
    <row r="587" spans="1:4" x14ac:dyDescent="0.25">
      <c r="A587" s="49">
        <f t="shared" si="9"/>
        <v>584</v>
      </c>
      <c r="B587" s="54"/>
      <c r="C587" s="52"/>
      <c r="D587" s="55"/>
    </row>
    <row r="588" spans="1:4" x14ac:dyDescent="0.25">
      <c r="A588" s="49">
        <f t="shared" si="9"/>
        <v>585</v>
      </c>
      <c r="B588" s="54"/>
      <c r="C588" s="52"/>
      <c r="D588" s="55"/>
    </row>
    <row r="589" spans="1:4" x14ac:dyDescent="0.25">
      <c r="A589" s="49">
        <f t="shared" si="9"/>
        <v>586</v>
      </c>
      <c r="B589" s="54"/>
      <c r="C589" s="52"/>
      <c r="D589" s="55"/>
    </row>
    <row r="590" spans="1:4" x14ac:dyDescent="0.25">
      <c r="A590" s="49">
        <f t="shared" si="9"/>
        <v>587</v>
      </c>
      <c r="B590" s="54"/>
      <c r="C590" s="52"/>
      <c r="D590" s="55"/>
    </row>
    <row r="591" spans="1:4" x14ac:dyDescent="0.25">
      <c r="A591" s="49">
        <f t="shared" si="9"/>
        <v>588</v>
      </c>
      <c r="B591" s="54"/>
      <c r="C591" s="52"/>
      <c r="D591" s="55"/>
    </row>
    <row r="592" spans="1:4" x14ac:dyDescent="0.25">
      <c r="A592" s="49">
        <f t="shared" si="9"/>
        <v>589</v>
      </c>
      <c r="B592" s="54"/>
      <c r="C592" s="52"/>
      <c r="D592" s="55"/>
    </row>
    <row r="593" spans="1:4" x14ac:dyDescent="0.25">
      <c r="A593" s="49">
        <f t="shared" si="9"/>
        <v>590</v>
      </c>
      <c r="B593" s="54"/>
      <c r="C593" s="52"/>
      <c r="D593" s="55"/>
    </row>
    <row r="594" spans="1:4" x14ac:dyDescent="0.25">
      <c r="A594" s="49">
        <f t="shared" si="9"/>
        <v>591</v>
      </c>
      <c r="B594" s="54"/>
      <c r="C594" s="52"/>
      <c r="D594" s="55"/>
    </row>
    <row r="595" spans="1:4" x14ac:dyDescent="0.25">
      <c r="A595" s="49">
        <f t="shared" si="9"/>
        <v>592</v>
      </c>
      <c r="B595" s="54"/>
      <c r="C595" s="52"/>
      <c r="D595" s="55"/>
    </row>
    <row r="596" spans="1:4" x14ac:dyDescent="0.25">
      <c r="A596" s="49">
        <f t="shared" si="9"/>
        <v>593</v>
      </c>
      <c r="B596" s="54"/>
      <c r="C596" s="52"/>
      <c r="D596" s="55"/>
    </row>
    <row r="597" spans="1:4" x14ac:dyDescent="0.25">
      <c r="A597" s="49">
        <f t="shared" si="9"/>
        <v>594</v>
      </c>
      <c r="B597" s="54"/>
      <c r="C597" s="52"/>
      <c r="D597" s="55"/>
    </row>
    <row r="598" spans="1:4" x14ac:dyDescent="0.25">
      <c r="A598" s="49">
        <f t="shared" si="9"/>
        <v>595</v>
      </c>
      <c r="B598" s="54"/>
      <c r="C598" s="52"/>
      <c r="D598" s="55"/>
    </row>
    <row r="599" spans="1:4" x14ac:dyDescent="0.25">
      <c r="A599" s="49">
        <f t="shared" si="9"/>
        <v>596</v>
      </c>
      <c r="B599" s="54"/>
      <c r="C599" s="52"/>
      <c r="D599" s="55"/>
    </row>
    <row r="600" spans="1:4" x14ac:dyDescent="0.25">
      <c r="A600" s="49">
        <f t="shared" si="9"/>
        <v>597</v>
      </c>
      <c r="B600" s="54"/>
      <c r="C600" s="52"/>
      <c r="D600" s="55"/>
    </row>
    <row r="601" spans="1:4" x14ac:dyDescent="0.25">
      <c r="A601" s="49">
        <f t="shared" si="9"/>
        <v>598</v>
      </c>
      <c r="B601" s="54"/>
      <c r="C601" s="52"/>
      <c r="D601" s="55"/>
    </row>
    <row r="602" spans="1:4" x14ac:dyDescent="0.25">
      <c r="A602" s="49">
        <f t="shared" si="9"/>
        <v>599</v>
      </c>
      <c r="B602" s="54"/>
      <c r="C602" s="52"/>
      <c r="D602" s="55"/>
    </row>
    <row r="603" spans="1:4" x14ac:dyDescent="0.25">
      <c r="A603" s="49">
        <f t="shared" si="9"/>
        <v>600</v>
      </c>
      <c r="B603" s="54"/>
      <c r="C603" s="52"/>
      <c r="D603" s="55"/>
    </row>
    <row r="604" spans="1:4" x14ac:dyDescent="0.25">
      <c r="A604" s="49">
        <f t="shared" si="9"/>
        <v>601</v>
      </c>
      <c r="B604" s="54"/>
      <c r="C604" s="52"/>
      <c r="D604" s="55"/>
    </row>
    <row r="605" spans="1:4" x14ac:dyDescent="0.25">
      <c r="A605" s="49">
        <f t="shared" si="9"/>
        <v>602</v>
      </c>
      <c r="B605" s="54"/>
      <c r="C605" s="52"/>
      <c r="D605" s="55"/>
    </row>
    <row r="606" spans="1:4" x14ac:dyDescent="0.25">
      <c r="A606" s="49">
        <f t="shared" si="9"/>
        <v>603</v>
      </c>
      <c r="B606" s="54"/>
      <c r="C606" s="52"/>
      <c r="D606" s="55"/>
    </row>
    <row r="607" spans="1:4" x14ac:dyDescent="0.25">
      <c r="A607" s="49">
        <f t="shared" si="9"/>
        <v>604</v>
      </c>
      <c r="B607" s="54"/>
      <c r="C607" s="52"/>
      <c r="D607" s="55"/>
    </row>
    <row r="608" spans="1:4" x14ac:dyDescent="0.25">
      <c r="A608" s="49">
        <f t="shared" si="9"/>
        <v>605</v>
      </c>
      <c r="B608" s="54"/>
      <c r="C608" s="52"/>
      <c r="D608" s="55"/>
    </row>
    <row r="609" spans="1:4" x14ac:dyDescent="0.25">
      <c r="A609" s="49">
        <f t="shared" si="9"/>
        <v>606</v>
      </c>
      <c r="B609" s="54"/>
      <c r="C609" s="52"/>
      <c r="D609" s="55"/>
    </row>
    <row r="610" spans="1:4" x14ac:dyDescent="0.25">
      <c r="A610" s="49">
        <f t="shared" si="9"/>
        <v>607</v>
      </c>
      <c r="B610" s="54"/>
      <c r="C610" s="52"/>
      <c r="D610" s="55"/>
    </row>
    <row r="611" spans="1:4" x14ac:dyDescent="0.25">
      <c r="A611" s="49">
        <f t="shared" si="9"/>
        <v>608</v>
      </c>
      <c r="B611" s="54"/>
      <c r="C611" s="52"/>
      <c r="D611" s="55"/>
    </row>
    <row r="612" spans="1:4" x14ac:dyDescent="0.25">
      <c r="A612" s="49">
        <f t="shared" si="9"/>
        <v>609</v>
      </c>
      <c r="B612" s="54"/>
      <c r="C612" s="52"/>
      <c r="D612" s="55"/>
    </row>
    <row r="613" spans="1:4" x14ac:dyDescent="0.25">
      <c r="A613" s="49">
        <f t="shared" si="9"/>
        <v>610</v>
      </c>
      <c r="B613" s="54"/>
      <c r="C613" s="52"/>
      <c r="D613" s="55"/>
    </row>
    <row r="614" spans="1:4" x14ac:dyDescent="0.25">
      <c r="A614" s="49">
        <f t="shared" si="9"/>
        <v>611</v>
      </c>
      <c r="B614" s="54"/>
      <c r="C614" s="52"/>
      <c r="D614" s="55"/>
    </row>
    <row r="615" spans="1:4" x14ac:dyDescent="0.25">
      <c r="A615" s="49">
        <f t="shared" si="9"/>
        <v>612</v>
      </c>
      <c r="B615" s="54"/>
      <c r="C615" s="52"/>
      <c r="D615" s="55"/>
    </row>
    <row r="616" spans="1:4" x14ac:dyDescent="0.25">
      <c r="A616" s="49">
        <f t="shared" si="9"/>
        <v>613</v>
      </c>
      <c r="B616" s="54"/>
      <c r="C616" s="52"/>
      <c r="D616" s="55"/>
    </row>
    <row r="617" spans="1:4" x14ac:dyDescent="0.25">
      <c r="A617" s="49">
        <f t="shared" si="9"/>
        <v>614</v>
      </c>
      <c r="B617" s="54"/>
      <c r="C617" s="52"/>
      <c r="D617" s="55"/>
    </row>
    <row r="618" spans="1:4" x14ac:dyDescent="0.25">
      <c r="A618" s="49">
        <f t="shared" si="9"/>
        <v>615</v>
      </c>
      <c r="B618" s="54"/>
      <c r="C618" s="52"/>
      <c r="D618" s="55"/>
    </row>
    <row r="619" spans="1:4" x14ac:dyDescent="0.25">
      <c r="A619" s="49">
        <f t="shared" si="9"/>
        <v>616</v>
      </c>
      <c r="B619" s="54"/>
      <c r="C619" s="52"/>
      <c r="D619" s="55"/>
    </row>
    <row r="620" spans="1:4" x14ac:dyDescent="0.25">
      <c r="A620" s="49">
        <f t="shared" si="9"/>
        <v>617</v>
      </c>
      <c r="B620" s="54"/>
      <c r="C620" s="52"/>
      <c r="D620" s="55"/>
    </row>
    <row r="621" spans="1:4" x14ac:dyDescent="0.25">
      <c r="A621" s="49">
        <f t="shared" si="9"/>
        <v>618</v>
      </c>
      <c r="B621" s="54"/>
      <c r="C621" s="52"/>
      <c r="D621" s="55"/>
    </row>
    <row r="622" spans="1:4" x14ac:dyDescent="0.25">
      <c r="A622" s="49">
        <f t="shared" si="9"/>
        <v>619</v>
      </c>
      <c r="B622" s="54"/>
      <c r="C622" s="52"/>
      <c r="D622" s="55"/>
    </row>
    <row r="623" spans="1:4" x14ac:dyDescent="0.25">
      <c r="A623" s="49">
        <f t="shared" si="9"/>
        <v>620</v>
      </c>
      <c r="B623" s="54"/>
      <c r="C623" s="52"/>
      <c r="D623" s="55"/>
    </row>
    <row r="624" spans="1:4" x14ac:dyDescent="0.25">
      <c r="A624" s="49">
        <f t="shared" si="9"/>
        <v>621</v>
      </c>
      <c r="B624" s="54"/>
      <c r="C624" s="52"/>
      <c r="D624" s="55"/>
    </row>
    <row r="625" spans="1:4" x14ac:dyDescent="0.25">
      <c r="A625" s="49">
        <f t="shared" si="9"/>
        <v>622</v>
      </c>
      <c r="B625" s="54"/>
      <c r="C625" s="52"/>
      <c r="D625" s="55"/>
    </row>
    <row r="626" spans="1:4" x14ac:dyDescent="0.25">
      <c r="A626" s="49">
        <f t="shared" si="9"/>
        <v>623</v>
      </c>
      <c r="B626" s="54"/>
      <c r="C626" s="52"/>
      <c r="D626" s="55"/>
    </row>
    <row r="627" spans="1:4" x14ac:dyDescent="0.25">
      <c r="A627" s="49">
        <f t="shared" si="9"/>
        <v>624</v>
      </c>
      <c r="B627" s="54"/>
      <c r="C627" s="52"/>
      <c r="D627" s="55"/>
    </row>
    <row r="628" spans="1:4" x14ac:dyDescent="0.25">
      <c r="A628" s="49">
        <f t="shared" si="9"/>
        <v>625</v>
      </c>
      <c r="B628" s="54"/>
      <c r="C628" s="52"/>
      <c r="D628" s="55"/>
    </row>
    <row r="629" spans="1:4" x14ac:dyDescent="0.25">
      <c r="A629" s="49">
        <f t="shared" si="9"/>
        <v>626</v>
      </c>
      <c r="B629" s="54"/>
      <c r="C629" s="52"/>
      <c r="D629" s="55"/>
    </row>
    <row r="630" spans="1:4" x14ac:dyDescent="0.25">
      <c r="A630" s="49">
        <f t="shared" si="9"/>
        <v>627</v>
      </c>
      <c r="B630" s="54"/>
      <c r="C630" s="52"/>
      <c r="D630" s="55"/>
    </row>
    <row r="631" spans="1:4" x14ac:dyDescent="0.25">
      <c r="A631" s="49">
        <f t="shared" si="9"/>
        <v>628</v>
      </c>
      <c r="B631" s="54"/>
      <c r="C631" s="52"/>
      <c r="D631" s="55"/>
    </row>
    <row r="632" spans="1:4" x14ac:dyDescent="0.25">
      <c r="A632" s="49">
        <f t="shared" si="9"/>
        <v>629</v>
      </c>
      <c r="B632" s="54"/>
      <c r="C632" s="52"/>
      <c r="D632" s="55"/>
    </row>
    <row r="633" spans="1:4" x14ac:dyDescent="0.25">
      <c r="A633" s="49">
        <f t="shared" si="9"/>
        <v>630</v>
      </c>
      <c r="B633" s="54"/>
      <c r="C633" s="52"/>
      <c r="D633" s="55"/>
    </row>
    <row r="634" spans="1:4" x14ac:dyDescent="0.25">
      <c r="A634" s="49">
        <f t="shared" si="9"/>
        <v>631</v>
      </c>
      <c r="B634" s="54"/>
      <c r="C634" s="52"/>
      <c r="D634" s="55"/>
    </row>
    <row r="635" spans="1:4" x14ac:dyDescent="0.25">
      <c r="A635" s="49">
        <f t="shared" si="9"/>
        <v>632</v>
      </c>
      <c r="B635" s="54"/>
      <c r="C635" s="52"/>
      <c r="D635" s="55"/>
    </row>
    <row r="636" spans="1:4" x14ac:dyDescent="0.25">
      <c r="A636" s="49">
        <f t="shared" si="9"/>
        <v>633</v>
      </c>
      <c r="B636" s="54"/>
      <c r="C636" s="52"/>
      <c r="D636" s="55"/>
    </row>
    <row r="637" spans="1:4" x14ac:dyDescent="0.25">
      <c r="A637" s="49">
        <f t="shared" si="9"/>
        <v>634</v>
      </c>
      <c r="B637" s="54"/>
      <c r="C637" s="52"/>
      <c r="D637" s="55"/>
    </row>
    <row r="638" spans="1:4" x14ac:dyDescent="0.25">
      <c r="A638" s="49">
        <f t="shared" si="9"/>
        <v>635</v>
      </c>
      <c r="B638" s="54"/>
      <c r="C638" s="52"/>
      <c r="D638" s="55"/>
    </row>
    <row r="639" spans="1:4" x14ac:dyDescent="0.25">
      <c r="A639" s="49">
        <f t="shared" si="9"/>
        <v>636</v>
      </c>
      <c r="B639" s="54"/>
      <c r="C639" s="52"/>
      <c r="D639" s="55"/>
    </row>
    <row r="640" spans="1:4" x14ac:dyDescent="0.25">
      <c r="A640" s="49">
        <f t="shared" si="9"/>
        <v>637</v>
      </c>
      <c r="B640" s="54"/>
      <c r="C640" s="52"/>
      <c r="D640" s="55"/>
    </row>
    <row r="641" spans="1:4" x14ac:dyDescent="0.25">
      <c r="A641" s="49">
        <f t="shared" si="9"/>
        <v>638</v>
      </c>
      <c r="B641" s="54"/>
      <c r="C641" s="52"/>
      <c r="D641" s="55"/>
    </row>
    <row r="642" spans="1:4" x14ac:dyDescent="0.25">
      <c r="A642" s="49">
        <f t="shared" si="9"/>
        <v>639</v>
      </c>
      <c r="B642" s="54"/>
      <c r="C642" s="52"/>
      <c r="D642" s="55"/>
    </row>
    <row r="643" spans="1:4" x14ac:dyDescent="0.25">
      <c r="A643" s="49">
        <f t="shared" si="9"/>
        <v>640</v>
      </c>
      <c r="B643" s="54"/>
      <c r="C643" s="52"/>
      <c r="D643" s="55"/>
    </row>
    <row r="644" spans="1:4" x14ac:dyDescent="0.25">
      <c r="A644" s="49">
        <f t="shared" ref="A644:A707" si="10">ROW()-3</f>
        <v>641</v>
      </c>
      <c r="B644" s="54"/>
      <c r="C644" s="52"/>
      <c r="D644" s="55"/>
    </row>
    <row r="645" spans="1:4" x14ac:dyDescent="0.25">
      <c r="A645" s="49">
        <f t="shared" si="10"/>
        <v>642</v>
      </c>
      <c r="B645" s="54"/>
      <c r="C645" s="52"/>
      <c r="D645" s="55"/>
    </row>
    <row r="646" spans="1:4" x14ac:dyDescent="0.25">
      <c r="A646" s="49">
        <f t="shared" si="10"/>
        <v>643</v>
      </c>
      <c r="B646" s="54"/>
      <c r="C646" s="52"/>
      <c r="D646" s="55"/>
    </row>
    <row r="647" spans="1:4" x14ac:dyDescent="0.25">
      <c r="A647" s="49">
        <f t="shared" si="10"/>
        <v>644</v>
      </c>
      <c r="B647" s="54"/>
      <c r="C647" s="52"/>
      <c r="D647" s="55"/>
    </row>
    <row r="648" spans="1:4" x14ac:dyDescent="0.25">
      <c r="A648" s="49">
        <f t="shared" si="10"/>
        <v>645</v>
      </c>
      <c r="B648" s="54"/>
      <c r="C648" s="52"/>
      <c r="D648" s="55"/>
    </row>
    <row r="649" spans="1:4" x14ac:dyDescent="0.25">
      <c r="A649" s="49">
        <f t="shared" si="10"/>
        <v>646</v>
      </c>
      <c r="B649" s="54"/>
      <c r="C649" s="52"/>
      <c r="D649" s="55"/>
    </row>
    <row r="650" spans="1:4" x14ac:dyDescent="0.25">
      <c r="A650" s="49">
        <f t="shared" si="10"/>
        <v>647</v>
      </c>
      <c r="B650" s="54"/>
      <c r="C650" s="52"/>
      <c r="D650" s="55"/>
    </row>
    <row r="651" spans="1:4" x14ac:dyDescent="0.25">
      <c r="A651" s="49">
        <f t="shared" si="10"/>
        <v>648</v>
      </c>
      <c r="B651" s="54"/>
      <c r="C651" s="52"/>
      <c r="D651" s="55"/>
    </row>
    <row r="652" spans="1:4" x14ac:dyDescent="0.25">
      <c r="A652" s="49">
        <f t="shared" si="10"/>
        <v>649</v>
      </c>
      <c r="B652" s="54"/>
      <c r="C652" s="52"/>
      <c r="D652" s="55"/>
    </row>
    <row r="653" spans="1:4" x14ac:dyDescent="0.25">
      <c r="A653" s="49">
        <f t="shared" si="10"/>
        <v>650</v>
      </c>
      <c r="B653" s="54"/>
      <c r="C653" s="52"/>
      <c r="D653" s="55"/>
    </row>
    <row r="654" spans="1:4" x14ac:dyDescent="0.25">
      <c r="A654" s="49">
        <f t="shared" si="10"/>
        <v>651</v>
      </c>
      <c r="B654" s="54"/>
      <c r="C654" s="52"/>
      <c r="D654" s="55"/>
    </row>
    <row r="655" spans="1:4" x14ac:dyDescent="0.25">
      <c r="A655" s="49">
        <f t="shared" si="10"/>
        <v>652</v>
      </c>
      <c r="B655" s="54"/>
      <c r="C655" s="52"/>
      <c r="D655" s="55"/>
    </row>
    <row r="656" spans="1:4" x14ac:dyDescent="0.25">
      <c r="A656" s="49">
        <f t="shared" si="10"/>
        <v>653</v>
      </c>
      <c r="B656" s="54"/>
      <c r="C656" s="52"/>
      <c r="D656" s="55"/>
    </row>
    <row r="657" spans="1:4" x14ac:dyDescent="0.25">
      <c r="A657" s="49">
        <f t="shared" si="10"/>
        <v>654</v>
      </c>
      <c r="B657" s="54"/>
      <c r="C657" s="52"/>
      <c r="D657" s="55"/>
    </row>
    <row r="658" spans="1:4" x14ac:dyDescent="0.25">
      <c r="A658" s="49">
        <f t="shared" si="10"/>
        <v>655</v>
      </c>
      <c r="B658" s="54"/>
      <c r="C658" s="52"/>
      <c r="D658" s="55"/>
    </row>
    <row r="659" spans="1:4" x14ac:dyDescent="0.25">
      <c r="A659" s="49">
        <f t="shared" si="10"/>
        <v>656</v>
      </c>
      <c r="B659" s="54"/>
      <c r="C659" s="52"/>
      <c r="D659" s="55"/>
    </row>
    <row r="660" spans="1:4" x14ac:dyDescent="0.25">
      <c r="A660" s="49">
        <f t="shared" si="10"/>
        <v>657</v>
      </c>
      <c r="B660" s="54"/>
      <c r="C660" s="52"/>
      <c r="D660" s="55"/>
    </row>
    <row r="661" spans="1:4" x14ac:dyDescent="0.25">
      <c r="A661" s="49">
        <f t="shared" si="10"/>
        <v>658</v>
      </c>
      <c r="B661" s="54"/>
      <c r="C661" s="52"/>
      <c r="D661" s="55"/>
    </row>
    <row r="662" spans="1:4" x14ac:dyDescent="0.25">
      <c r="A662" s="49">
        <f t="shared" si="10"/>
        <v>659</v>
      </c>
      <c r="B662" s="54"/>
      <c r="C662" s="52"/>
      <c r="D662" s="55"/>
    </row>
    <row r="663" spans="1:4" x14ac:dyDescent="0.25">
      <c r="A663" s="49">
        <f t="shared" si="10"/>
        <v>660</v>
      </c>
      <c r="B663" s="54"/>
      <c r="C663" s="52"/>
      <c r="D663" s="55"/>
    </row>
    <row r="664" spans="1:4" x14ac:dyDescent="0.25">
      <c r="A664" s="49">
        <f t="shared" si="10"/>
        <v>661</v>
      </c>
      <c r="B664" s="54"/>
      <c r="C664" s="52"/>
      <c r="D664" s="55"/>
    </row>
    <row r="665" spans="1:4" x14ac:dyDescent="0.25">
      <c r="A665" s="49">
        <f t="shared" si="10"/>
        <v>662</v>
      </c>
      <c r="B665" s="54"/>
      <c r="C665" s="52"/>
      <c r="D665" s="55"/>
    </row>
    <row r="666" spans="1:4" x14ac:dyDescent="0.25">
      <c r="A666" s="49">
        <f t="shared" si="10"/>
        <v>663</v>
      </c>
      <c r="B666" s="54"/>
      <c r="C666" s="52"/>
      <c r="D666" s="55"/>
    </row>
    <row r="667" spans="1:4" x14ac:dyDescent="0.25">
      <c r="A667" s="49">
        <f t="shared" si="10"/>
        <v>664</v>
      </c>
      <c r="B667" s="54"/>
      <c r="C667" s="52"/>
      <c r="D667" s="55"/>
    </row>
    <row r="668" spans="1:4" x14ac:dyDescent="0.25">
      <c r="A668" s="49">
        <f t="shared" si="10"/>
        <v>665</v>
      </c>
      <c r="B668" s="54"/>
      <c r="C668" s="52"/>
      <c r="D668" s="55"/>
    </row>
    <row r="669" spans="1:4" x14ac:dyDescent="0.25">
      <c r="A669" s="49">
        <f t="shared" si="10"/>
        <v>666</v>
      </c>
      <c r="B669" s="54"/>
      <c r="C669" s="52"/>
      <c r="D669" s="55"/>
    </row>
    <row r="670" spans="1:4" x14ac:dyDescent="0.25">
      <c r="A670" s="49">
        <f t="shared" si="10"/>
        <v>667</v>
      </c>
      <c r="B670" s="54"/>
      <c r="C670" s="52"/>
      <c r="D670" s="55"/>
    </row>
    <row r="671" spans="1:4" x14ac:dyDescent="0.25">
      <c r="A671" s="49">
        <f t="shared" si="10"/>
        <v>668</v>
      </c>
      <c r="B671" s="54"/>
      <c r="C671" s="52"/>
      <c r="D671" s="55"/>
    </row>
    <row r="672" spans="1:4" x14ac:dyDescent="0.25">
      <c r="A672" s="49">
        <f t="shared" si="10"/>
        <v>669</v>
      </c>
      <c r="B672" s="54"/>
      <c r="C672" s="52"/>
      <c r="D672" s="55"/>
    </row>
    <row r="673" spans="1:4" x14ac:dyDescent="0.25">
      <c r="A673" s="49">
        <f t="shared" si="10"/>
        <v>670</v>
      </c>
      <c r="B673" s="54"/>
      <c r="C673" s="52"/>
      <c r="D673" s="55"/>
    </row>
    <row r="674" spans="1:4" x14ac:dyDescent="0.25">
      <c r="A674" s="49">
        <f t="shared" si="10"/>
        <v>671</v>
      </c>
      <c r="B674" s="54"/>
      <c r="C674" s="52"/>
      <c r="D674" s="55"/>
    </row>
    <row r="675" spans="1:4" x14ac:dyDescent="0.25">
      <c r="A675" s="49">
        <f t="shared" si="10"/>
        <v>672</v>
      </c>
      <c r="B675" s="54"/>
      <c r="C675" s="52"/>
      <c r="D675" s="55"/>
    </row>
    <row r="676" spans="1:4" x14ac:dyDescent="0.25">
      <c r="A676" s="49">
        <f t="shared" si="10"/>
        <v>673</v>
      </c>
      <c r="B676" s="54"/>
      <c r="C676" s="52"/>
      <c r="D676" s="55"/>
    </row>
    <row r="677" spans="1:4" x14ac:dyDescent="0.25">
      <c r="A677" s="49">
        <f t="shared" si="10"/>
        <v>674</v>
      </c>
      <c r="B677" s="54"/>
      <c r="C677" s="52"/>
      <c r="D677" s="55"/>
    </row>
    <row r="678" spans="1:4" x14ac:dyDescent="0.25">
      <c r="A678" s="49">
        <f t="shared" si="10"/>
        <v>675</v>
      </c>
      <c r="B678" s="54"/>
      <c r="C678" s="52"/>
      <c r="D678" s="55"/>
    </row>
    <row r="679" spans="1:4" x14ac:dyDescent="0.25">
      <c r="A679" s="49">
        <f t="shared" si="10"/>
        <v>676</v>
      </c>
      <c r="B679" s="54"/>
      <c r="C679" s="52"/>
      <c r="D679" s="55"/>
    </row>
    <row r="680" spans="1:4" x14ac:dyDescent="0.25">
      <c r="A680" s="49">
        <f t="shared" si="10"/>
        <v>677</v>
      </c>
      <c r="B680" s="54"/>
      <c r="C680" s="52"/>
      <c r="D680" s="55"/>
    </row>
    <row r="681" spans="1:4" x14ac:dyDescent="0.25">
      <c r="A681" s="49">
        <f t="shared" si="10"/>
        <v>678</v>
      </c>
      <c r="B681" s="54"/>
      <c r="C681" s="52"/>
      <c r="D681" s="55"/>
    </row>
    <row r="682" spans="1:4" x14ac:dyDescent="0.25">
      <c r="A682" s="49">
        <f t="shared" si="10"/>
        <v>679</v>
      </c>
      <c r="B682" s="54"/>
      <c r="C682" s="52"/>
      <c r="D682" s="55"/>
    </row>
    <row r="683" spans="1:4" x14ac:dyDescent="0.25">
      <c r="A683" s="49">
        <f t="shared" si="10"/>
        <v>680</v>
      </c>
      <c r="B683" s="54"/>
      <c r="C683" s="52"/>
      <c r="D683" s="55"/>
    </row>
    <row r="684" spans="1:4" x14ac:dyDescent="0.25">
      <c r="A684" s="49">
        <f t="shared" si="10"/>
        <v>681</v>
      </c>
      <c r="B684" s="54"/>
      <c r="C684" s="52"/>
      <c r="D684" s="55"/>
    </row>
    <row r="685" spans="1:4" x14ac:dyDescent="0.25">
      <c r="A685" s="49">
        <f t="shared" si="10"/>
        <v>682</v>
      </c>
      <c r="B685" s="54"/>
      <c r="C685" s="52"/>
      <c r="D685" s="55"/>
    </row>
    <row r="686" spans="1:4" x14ac:dyDescent="0.25">
      <c r="A686" s="49">
        <f t="shared" si="10"/>
        <v>683</v>
      </c>
      <c r="B686" s="54"/>
      <c r="C686" s="52"/>
      <c r="D686" s="55"/>
    </row>
    <row r="687" spans="1:4" x14ac:dyDescent="0.25">
      <c r="A687" s="49">
        <f t="shared" si="10"/>
        <v>684</v>
      </c>
      <c r="B687" s="54"/>
      <c r="C687" s="52"/>
      <c r="D687" s="55"/>
    </row>
    <row r="688" spans="1:4" x14ac:dyDescent="0.25">
      <c r="A688" s="49">
        <f t="shared" si="10"/>
        <v>685</v>
      </c>
      <c r="B688" s="54"/>
      <c r="C688" s="52"/>
      <c r="D688" s="55"/>
    </row>
    <row r="689" spans="1:4" x14ac:dyDescent="0.25">
      <c r="A689" s="49">
        <f t="shared" si="10"/>
        <v>686</v>
      </c>
      <c r="B689" s="54"/>
      <c r="C689" s="52"/>
      <c r="D689" s="55"/>
    </row>
    <row r="690" spans="1:4" x14ac:dyDescent="0.25">
      <c r="A690" s="49">
        <f t="shared" si="10"/>
        <v>687</v>
      </c>
      <c r="B690" s="54"/>
      <c r="C690" s="52"/>
      <c r="D690" s="55"/>
    </row>
    <row r="691" spans="1:4" x14ac:dyDescent="0.25">
      <c r="A691" s="49">
        <f t="shared" si="10"/>
        <v>688</v>
      </c>
      <c r="B691" s="54"/>
      <c r="C691" s="52"/>
      <c r="D691" s="55"/>
    </row>
    <row r="692" spans="1:4" x14ac:dyDescent="0.25">
      <c r="A692" s="49">
        <f t="shared" si="10"/>
        <v>689</v>
      </c>
      <c r="B692" s="54"/>
      <c r="C692" s="52"/>
      <c r="D692" s="55"/>
    </row>
    <row r="693" spans="1:4" x14ac:dyDescent="0.25">
      <c r="A693" s="49">
        <f t="shared" si="10"/>
        <v>690</v>
      </c>
      <c r="B693" s="54"/>
      <c r="C693" s="52"/>
      <c r="D693" s="55"/>
    </row>
    <row r="694" spans="1:4" x14ac:dyDescent="0.25">
      <c r="A694" s="49">
        <f t="shared" si="10"/>
        <v>691</v>
      </c>
      <c r="B694" s="54"/>
      <c r="C694" s="52"/>
      <c r="D694" s="55"/>
    </row>
    <row r="695" spans="1:4" x14ac:dyDescent="0.25">
      <c r="A695" s="49">
        <f t="shared" si="10"/>
        <v>692</v>
      </c>
      <c r="B695" s="54"/>
      <c r="C695" s="52"/>
      <c r="D695" s="55"/>
    </row>
    <row r="696" spans="1:4" x14ac:dyDescent="0.25">
      <c r="A696" s="49">
        <f t="shared" si="10"/>
        <v>693</v>
      </c>
      <c r="B696" s="54"/>
      <c r="C696" s="52"/>
      <c r="D696" s="55"/>
    </row>
    <row r="697" spans="1:4" x14ac:dyDescent="0.25">
      <c r="A697" s="49">
        <f t="shared" si="10"/>
        <v>694</v>
      </c>
      <c r="B697" s="54"/>
      <c r="C697" s="52"/>
      <c r="D697" s="55"/>
    </row>
    <row r="698" spans="1:4" x14ac:dyDescent="0.25">
      <c r="A698" s="49">
        <f t="shared" si="10"/>
        <v>695</v>
      </c>
      <c r="B698" s="54"/>
      <c r="C698" s="52"/>
      <c r="D698" s="55"/>
    </row>
    <row r="699" spans="1:4" x14ac:dyDescent="0.25">
      <c r="A699" s="49">
        <f t="shared" si="10"/>
        <v>696</v>
      </c>
      <c r="B699" s="54"/>
      <c r="C699" s="52"/>
      <c r="D699" s="55"/>
    </row>
    <row r="700" spans="1:4" x14ac:dyDescent="0.25">
      <c r="A700" s="49">
        <f t="shared" si="10"/>
        <v>697</v>
      </c>
      <c r="B700" s="54"/>
      <c r="C700" s="52"/>
      <c r="D700" s="55"/>
    </row>
    <row r="701" spans="1:4" x14ac:dyDescent="0.25">
      <c r="A701" s="49">
        <f t="shared" si="10"/>
        <v>698</v>
      </c>
      <c r="B701" s="54"/>
      <c r="C701" s="52"/>
      <c r="D701" s="55"/>
    </row>
    <row r="702" spans="1:4" x14ac:dyDescent="0.25">
      <c r="A702" s="49">
        <f t="shared" si="10"/>
        <v>699</v>
      </c>
      <c r="B702" s="54"/>
      <c r="C702" s="52"/>
      <c r="D702" s="55"/>
    </row>
    <row r="703" spans="1:4" x14ac:dyDescent="0.25">
      <c r="A703" s="49">
        <f t="shared" si="10"/>
        <v>700</v>
      </c>
      <c r="B703" s="54"/>
      <c r="C703" s="52"/>
      <c r="D703" s="55"/>
    </row>
    <row r="704" spans="1:4" x14ac:dyDescent="0.25">
      <c r="A704" s="49">
        <f t="shared" si="10"/>
        <v>701</v>
      </c>
      <c r="B704" s="54"/>
      <c r="C704" s="52"/>
      <c r="D704" s="55"/>
    </row>
    <row r="705" spans="1:4" x14ac:dyDescent="0.25">
      <c r="A705" s="49">
        <f t="shared" si="10"/>
        <v>702</v>
      </c>
      <c r="B705" s="54"/>
      <c r="C705" s="52"/>
      <c r="D705" s="55"/>
    </row>
    <row r="706" spans="1:4" x14ac:dyDescent="0.25">
      <c r="A706" s="49">
        <f t="shared" si="10"/>
        <v>703</v>
      </c>
      <c r="B706" s="54"/>
      <c r="C706" s="52"/>
      <c r="D706" s="55"/>
    </row>
    <row r="707" spans="1:4" x14ac:dyDescent="0.25">
      <c r="A707" s="49">
        <f t="shared" si="10"/>
        <v>704</v>
      </c>
      <c r="B707" s="54"/>
      <c r="C707" s="52"/>
      <c r="D707" s="55"/>
    </row>
    <row r="708" spans="1:4" x14ac:dyDescent="0.25">
      <c r="A708" s="49">
        <f t="shared" ref="A708:A771" si="11">ROW()-3</f>
        <v>705</v>
      </c>
      <c r="B708" s="54"/>
      <c r="C708" s="52"/>
      <c r="D708" s="55"/>
    </row>
    <row r="709" spans="1:4" x14ac:dyDescent="0.25">
      <c r="A709" s="49">
        <f t="shared" si="11"/>
        <v>706</v>
      </c>
      <c r="B709" s="54"/>
      <c r="C709" s="52"/>
      <c r="D709" s="55"/>
    </row>
    <row r="710" spans="1:4" x14ac:dyDescent="0.25">
      <c r="A710" s="49">
        <f t="shared" si="11"/>
        <v>707</v>
      </c>
      <c r="B710" s="54"/>
      <c r="C710" s="52"/>
      <c r="D710" s="55"/>
    </row>
    <row r="711" spans="1:4" x14ac:dyDescent="0.25">
      <c r="A711" s="49">
        <f t="shared" si="11"/>
        <v>708</v>
      </c>
      <c r="B711" s="54"/>
      <c r="C711" s="52"/>
      <c r="D711" s="55"/>
    </row>
    <row r="712" spans="1:4" x14ac:dyDescent="0.25">
      <c r="A712" s="49">
        <f t="shared" si="11"/>
        <v>709</v>
      </c>
      <c r="B712" s="54"/>
      <c r="C712" s="52"/>
      <c r="D712" s="55"/>
    </row>
    <row r="713" spans="1:4" x14ac:dyDescent="0.25">
      <c r="A713" s="49">
        <f t="shared" si="11"/>
        <v>710</v>
      </c>
      <c r="B713" s="54"/>
      <c r="C713" s="52"/>
      <c r="D713" s="55"/>
    </row>
    <row r="714" spans="1:4" x14ac:dyDescent="0.25">
      <c r="A714" s="49">
        <f t="shared" si="11"/>
        <v>711</v>
      </c>
      <c r="B714" s="54"/>
      <c r="C714" s="52"/>
      <c r="D714" s="55"/>
    </row>
    <row r="715" spans="1:4" x14ac:dyDescent="0.25">
      <c r="A715" s="49">
        <f t="shared" si="11"/>
        <v>712</v>
      </c>
      <c r="B715" s="54"/>
      <c r="C715" s="52"/>
      <c r="D715" s="55"/>
    </row>
    <row r="716" spans="1:4" x14ac:dyDescent="0.25">
      <c r="A716" s="49">
        <f t="shared" si="11"/>
        <v>713</v>
      </c>
      <c r="B716" s="54"/>
      <c r="C716" s="52"/>
      <c r="D716" s="55"/>
    </row>
    <row r="717" spans="1:4" x14ac:dyDescent="0.25">
      <c r="A717" s="49">
        <f t="shared" si="11"/>
        <v>714</v>
      </c>
      <c r="B717" s="54"/>
      <c r="C717" s="52"/>
      <c r="D717" s="55"/>
    </row>
    <row r="718" spans="1:4" x14ac:dyDescent="0.25">
      <c r="A718" s="49">
        <f t="shared" si="11"/>
        <v>715</v>
      </c>
      <c r="B718" s="54"/>
      <c r="C718" s="52"/>
      <c r="D718" s="55"/>
    </row>
    <row r="719" spans="1:4" x14ac:dyDescent="0.25">
      <c r="A719" s="49">
        <f t="shared" si="11"/>
        <v>716</v>
      </c>
      <c r="B719" s="54"/>
      <c r="C719" s="52"/>
      <c r="D719" s="55"/>
    </row>
    <row r="720" spans="1:4" x14ac:dyDescent="0.25">
      <c r="A720" s="49">
        <f t="shared" si="11"/>
        <v>717</v>
      </c>
      <c r="B720" s="54"/>
      <c r="C720" s="52"/>
      <c r="D720" s="55"/>
    </row>
    <row r="721" spans="1:4" x14ac:dyDescent="0.25">
      <c r="A721" s="49">
        <f t="shared" si="11"/>
        <v>718</v>
      </c>
      <c r="B721" s="54"/>
      <c r="C721" s="52"/>
      <c r="D721" s="55"/>
    </row>
    <row r="722" spans="1:4" x14ac:dyDescent="0.25">
      <c r="A722" s="49">
        <f t="shared" si="11"/>
        <v>719</v>
      </c>
      <c r="B722" s="54"/>
      <c r="C722" s="52"/>
      <c r="D722" s="55"/>
    </row>
    <row r="723" spans="1:4" x14ac:dyDescent="0.25">
      <c r="A723" s="49">
        <f t="shared" si="11"/>
        <v>720</v>
      </c>
      <c r="B723" s="54"/>
      <c r="C723" s="52"/>
      <c r="D723" s="55"/>
    </row>
    <row r="724" spans="1:4" x14ac:dyDescent="0.25">
      <c r="A724" s="49">
        <f t="shared" si="11"/>
        <v>721</v>
      </c>
      <c r="B724" s="54"/>
      <c r="C724" s="52"/>
      <c r="D724" s="55"/>
    </row>
    <row r="725" spans="1:4" x14ac:dyDescent="0.25">
      <c r="A725" s="49">
        <f t="shared" si="11"/>
        <v>722</v>
      </c>
      <c r="B725" s="54"/>
      <c r="C725" s="52"/>
      <c r="D725" s="55"/>
    </row>
    <row r="726" spans="1:4" x14ac:dyDescent="0.25">
      <c r="A726" s="49">
        <f t="shared" si="11"/>
        <v>723</v>
      </c>
      <c r="B726" s="54"/>
      <c r="C726" s="52"/>
      <c r="D726" s="55"/>
    </row>
    <row r="727" spans="1:4" x14ac:dyDescent="0.25">
      <c r="A727" s="49">
        <f t="shared" si="11"/>
        <v>724</v>
      </c>
      <c r="B727" s="54"/>
      <c r="C727" s="52"/>
      <c r="D727" s="55"/>
    </row>
    <row r="728" spans="1:4" x14ac:dyDescent="0.25">
      <c r="A728" s="49">
        <f t="shared" si="11"/>
        <v>725</v>
      </c>
      <c r="B728" s="54"/>
      <c r="C728" s="52"/>
      <c r="D728" s="55"/>
    </row>
    <row r="729" spans="1:4" x14ac:dyDescent="0.25">
      <c r="A729" s="49">
        <f t="shared" si="11"/>
        <v>726</v>
      </c>
      <c r="B729" s="54"/>
      <c r="C729" s="52"/>
      <c r="D729" s="55"/>
    </row>
    <row r="730" spans="1:4" x14ac:dyDescent="0.25">
      <c r="A730" s="49">
        <f t="shared" si="11"/>
        <v>727</v>
      </c>
      <c r="B730" s="54"/>
      <c r="C730" s="52"/>
      <c r="D730" s="55"/>
    </row>
    <row r="731" spans="1:4" x14ac:dyDescent="0.25">
      <c r="A731" s="49">
        <f t="shared" si="11"/>
        <v>728</v>
      </c>
      <c r="B731" s="54"/>
      <c r="C731" s="52"/>
      <c r="D731" s="55"/>
    </row>
    <row r="732" spans="1:4" x14ac:dyDescent="0.25">
      <c r="A732" s="49">
        <f t="shared" si="11"/>
        <v>729</v>
      </c>
      <c r="B732" s="54"/>
      <c r="C732" s="52"/>
      <c r="D732" s="55"/>
    </row>
    <row r="733" spans="1:4" x14ac:dyDescent="0.25">
      <c r="A733" s="49">
        <f t="shared" si="11"/>
        <v>730</v>
      </c>
      <c r="B733" s="54"/>
      <c r="C733" s="52"/>
      <c r="D733" s="55"/>
    </row>
    <row r="734" spans="1:4" x14ac:dyDescent="0.25">
      <c r="A734" s="49">
        <f t="shared" si="11"/>
        <v>731</v>
      </c>
      <c r="B734" s="54"/>
      <c r="C734" s="52"/>
      <c r="D734" s="55"/>
    </row>
    <row r="735" spans="1:4" x14ac:dyDescent="0.25">
      <c r="A735" s="49">
        <f t="shared" si="11"/>
        <v>732</v>
      </c>
      <c r="B735" s="54"/>
      <c r="C735" s="52"/>
      <c r="D735" s="55"/>
    </row>
    <row r="736" spans="1:4" x14ac:dyDescent="0.25">
      <c r="A736" s="49">
        <f t="shared" si="11"/>
        <v>733</v>
      </c>
      <c r="B736" s="54"/>
      <c r="C736" s="52"/>
      <c r="D736" s="55"/>
    </row>
    <row r="737" spans="1:4" x14ac:dyDescent="0.25">
      <c r="A737" s="49">
        <f t="shared" si="11"/>
        <v>734</v>
      </c>
      <c r="B737" s="54"/>
      <c r="C737" s="52"/>
      <c r="D737" s="55"/>
    </row>
    <row r="738" spans="1:4" x14ac:dyDescent="0.25">
      <c r="A738" s="49">
        <f t="shared" si="11"/>
        <v>735</v>
      </c>
      <c r="B738" s="54"/>
      <c r="C738" s="52"/>
      <c r="D738" s="55"/>
    </row>
    <row r="739" spans="1:4" x14ac:dyDescent="0.25">
      <c r="A739" s="49">
        <f t="shared" si="11"/>
        <v>736</v>
      </c>
      <c r="B739" s="54"/>
      <c r="C739" s="52"/>
      <c r="D739" s="55"/>
    </row>
    <row r="740" spans="1:4" x14ac:dyDescent="0.25">
      <c r="A740" s="49">
        <f t="shared" si="11"/>
        <v>737</v>
      </c>
      <c r="B740" s="54"/>
      <c r="C740" s="52"/>
      <c r="D740" s="55"/>
    </row>
    <row r="741" spans="1:4" x14ac:dyDescent="0.25">
      <c r="A741" s="49">
        <f t="shared" si="11"/>
        <v>738</v>
      </c>
      <c r="B741" s="54"/>
      <c r="C741" s="52"/>
      <c r="D741" s="55"/>
    </row>
    <row r="742" spans="1:4" x14ac:dyDescent="0.25">
      <c r="A742" s="49">
        <f t="shared" si="11"/>
        <v>739</v>
      </c>
      <c r="B742" s="54"/>
      <c r="C742" s="52"/>
      <c r="D742" s="55"/>
    </row>
    <row r="743" spans="1:4" x14ac:dyDescent="0.25">
      <c r="A743" s="49">
        <f t="shared" si="11"/>
        <v>740</v>
      </c>
      <c r="B743" s="54"/>
      <c r="C743" s="52"/>
      <c r="D743" s="55"/>
    </row>
    <row r="744" spans="1:4" x14ac:dyDescent="0.25">
      <c r="A744" s="49">
        <f t="shared" si="11"/>
        <v>741</v>
      </c>
      <c r="B744" s="54"/>
      <c r="C744" s="52"/>
      <c r="D744" s="55"/>
    </row>
    <row r="745" spans="1:4" x14ac:dyDescent="0.25">
      <c r="A745" s="49">
        <f t="shared" si="11"/>
        <v>742</v>
      </c>
      <c r="B745" s="54"/>
      <c r="C745" s="52"/>
      <c r="D745" s="55"/>
    </row>
    <row r="746" spans="1:4" x14ac:dyDescent="0.25">
      <c r="A746" s="49">
        <f t="shared" si="11"/>
        <v>743</v>
      </c>
      <c r="B746" s="54"/>
      <c r="C746" s="52"/>
      <c r="D746" s="55"/>
    </row>
    <row r="747" spans="1:4" x14ac:dyDescent="0.25">
      <c r="A747" s="49">
        <f t="shared" si="11"/>
        <v>744</v>
      </c>
      <c r="B747" s="54"/>
      <c r="C747" s="52"/>
      <c r="D747" s="55"/>
    </row>
    <row r="748" spans="1:4" x14ac:dyDescent="0.25">
      <c r="A748" s="49">
        <f t="shared" si="11"/>
        <v>745</v>
      </c>
      <c r="B748" s="54"/>
      <c r="C748" s="52"/>
      <c r="D748" s="55"/>
    </row>
    <row r="749" spans="1:4" x14ac:dyDescent="0.25">
      <c r="A749" s="49">
        <f t="shared" si="11"/>
        <v>746</v>
      </c>
      <c r="B749" s="54"/>
      <c r="C749" s="52"/>
      <c r="D749" s="55"/>
    </row>
    <row r="750" spans="1:4" x14ac:dyDescent="0.25">
      <c r="A750" s="49">
        <f t="shared" si="11"/>
        <v>747</v>
      </c>
      <c r="B750" s="54"/>
      <c r="C750" s="52"/>
      <c r="D750" s="55"/>
    </row>
    <row r="751" spans="1:4" x14ac:dyDescent="0.25">
      <c r="A751" s="49">
        <f t="shared" si="11"/>
        <v>748</v>
      </c>
      <c r="B751" s="54"/>
      <c r="C751" s="52"/>
      <c r="D751" s="55"/>
    </row>
    <row r="752" spans="1:4" x14ac:dyDescent="0.25">
      <c r="A752" s="49">
        <f t="shared" si="11"/>
        <v>749</v>
      </c>
      <c r="B752" s="54"/>
      <c r="C752" s="52"/>
      <c r="D752" s="55"/>
    </row>
    <row r="753" spans="1:4" x14ac:dyDescent="0.25">
      <c r="A753" s="49">
        <f t="shared" si="11"/>
        <v>750</v>
      </c>
      <c r="B753" s="54"/>
      <c r="C753" s="52"/>
      <c r="D753" s="55"/>
    </row>
    <row r="754" spans="1:4" x14ac:dyDescent="0.25">
      <c r="A754" s="49">
        <f t="shared" si="11"/>
        <v>751</v>
      </c>
      <c r="B754" s="54"/>
      <c r="C754" s="52"/>
      <c r="D754" s="55"/>
    </row>
    <row r="755" spans="1:4" x14ac:dyDescent="0.25">
      <c r="A755" s="49">
        <f t="shared" si="11"/>
        <v>752</v>
      </c>
      <c r="B755" s="54"/>
      <c r="C755" s="52"/>
      <c r="D755" s="55"/>
    </row>
    <row r="756" spans="1:4" x14ac:dyDescent="0.25">
      <c r="A756" s="49">
        <f t="shared" si="11"/>
        <v>753</v>
      </c>
      <c r="B756" s="54"/>
      <c r="C756" s="52"/>
      <c r="D756" s="55"/>
    </row>
    <row r="757" spans="1:4" x14ac:dyDescent="0.25">
      <c r="A757" s="49">
        <f t="shared" si="11"/>
        <v>754</v>
      </c>
      <c r="B757" s="54"/>
      <c r="C757" s="52"/>
      <c r="D757" s="55"/>
    </row>
    <row r="758" spans="1:4" x14ac:dyDescent="0.25">
      <c r="A758" s="49">
        <f t="shared" si="11"/>
        <v>755</v>
      </c>
      <c r="B758" s="54"/>
      <c r="C758" s="52"/>
      <c r="D758" s="55"/>
    </row>
    <row r="759" spans="1:4" x14ac:dyDescent="0.25">
      <c r="A759" s="49">
        <f t="shared" si="11"/>
        <v>756</v>
      </c>
      <c r="B759" s="54"/>
      <c r="C759" s="52"/>
      <c r="D759" s="55"/>
    </row>
    <row r="760" spans="1:4" x14ac:dyDescent="0.25">
      <c r="A760" s="49">
        <f t="shared" si="11"/>
        <v>757</v>
      </c>
      <c r="B760" s="54"/>
      <c r="C760" s="52"/>
      <c r="D760" s="55"/>
    </row>
    <row r="761" spans="1:4" x14ac:dyDescent="0.25">
      <c r="A761" s="49">
        <f t="shared" si="11"/>
        <v>758</v>
      </c>
      <c r="B761" s="54"/>
      <c r="C761" s="52"/>
      <c r="D761" s="55"/>
    </row>
    <row r="762" spans="1:4" x14ac:dyDescent="0.25">
      <c r="A762" s="49">
        <f t="shared" si="11"/>
        <v>759</v>
      </c>
      <c r="B762" s="54"/>
      <c r="C762" s="52"/>
      <c r="D762" s="55"/>
    </row>
    <row r="763" spans="1:4" x14ac:dyDescent="0.25">
      <c r="A763" s="49">
        <f t="shared" si="11"/>
        <v>760</v>
      </c>
      <c r="B763" s="54"/>
      <c r="C763" s="52"/>
      <c r="D763" s="55"/>
    </row>
    <row r="764" spans="1:4" x14ac:dyDescent="0.25">
      <c r="A764" s="49">
        <f t="shared" si="11"/>
        <v>761</v>
      </c>
      <c r="B764" s="54"/>
      <c r="C764" s="52"/>
      <c r="D764" s="55"/>
    </row>
    <row r="765" spans="1:4" x14ac:dyDescent="0.25">
      <c r="A765" s="49">
        <f t="shared" si="11"/>
        <v>762</v>
      </c>
      <c r="B765" s="54"/>
      <c r="C765" s="52"/>
      <c r="D765" s="55"/>
    </row>
    <row r="766" spans="1:4" x14ac:dyDescent="0.25">
      <c r="A766" s="49">
        <f t="shared" si="11"/>
        <v>763</v>
      </c>
      <c r="B766" s="54"/>
      <c r="C766" s="52"/>
      <c r="D766" s="55"/>
    </row>
    <row r="767" spans="1:4" x14ac:dyDescent="0.25">
      <c r="A767" s="49">
        <f t="shared" si="11"/>
        <v>764</v>
      </c>
      <c r="B767" s="54"/>
      <c r="C767" s="52"/>
      <c r="D767" s="55"/>
    </row>
    <row r="768" spans="1:4" x14ac:dyDescent="0.25">
      <c r="A768" s="49">
        <f t="shared" si="11"/>
        <v>765</v>
      </c>
      <c r="B768" s="54"/>
      <c r="C768" s="52"/>
      <c r="D768" s="55"/>
    </row>
    <row r="769" spans="1:4" x14ac:dyDescent="0.25">
      <c r="A769" s="49">
        <f t="shared" si="11"/>
        <v>766</v>
      </c>
      <c r="B769" s="54"/>
      <c r="C769" s="52"/>
      <c r="D769" s="55"/>
    </row>
    <row r="770" spans="1:4" x14ac:dyDescent="0.25">
      <c r="A770" s="49">
        <f t="shared" si="11"/>
        <v>767</v>
      </c>
      <c r="B770" s="54"/>
      <c r="C770" s="52"/>
      <c r="D770" s="55"/>
    </row>
    <row r="771" spans="1:4" x14ac:dyDescent="0.25">
      <c r="A771" s="49">
        <f t="shared" si="11"/>
        <v>768</v>
      </c>
      <c r="B771" s="54"/>
      <c r="C771" s="52"/>
      <c r="D771" s="55"/>
    </row>
    <row r="772" spans="1:4" x14ac:dyDescent="0.25">
      <c r="A772" s="49">
        <f t="shared" ref="A772:A835" si="12">ROW()-3</f>
        <v>769</v>
      </c>
      <c r="B772" s="54"/>
      <c r="C772" s="52"/>
      <c r="D772" s="55"/>
    </row>
    <row r="773" spans="1:4" x14ac:dyDescent="0.25">
      <c r="A773" s="49">
        <f t="shared" si="12"/>
        <v>770</v>
      </c>
      <c r="B773" s="54"/>
      <c r="C773" s="52"/>
      <c r="D773" s="55"/>
    </row>
    <row r="774" spans="1:4" x14ac:dyDescent="0.25">
      <c r="A774" s="49">
        <f t="shared" si="12"/>
        <v>771</v>
      </c>
      <c r="B774" s="54"/>
      <c r="C774" s="52"/>
      <c r="D774" s="55"/>
    </row>
    <row r="775" spans="1:4" x14ac:dyDescent="0.25">
      <c r="A775" s="49">
        <f t="shared" si="12"/>
        <v>772</v>
      </c>
      <c r="B775" s="54"/>
      <c r="C775" s="52"/>
      <c r="D775" s="55"/>
    </row>
    <row r="776" spans="1:4" x14ac:dyDescent="0.25">
      <c r="A776" s="49">
        <f t="shared" si="12"/>
        <v>773</v>
      </c>
      <c r="B776" s="54"/>
      <c r="C776" s="52"/>
      <c r="D776" s="55"/>
    </row>
    <row r="777" spans="1:4" x14ac:dyDescent="0.25">
      <c r="A777" s="49">
        <f t="shared" si="12"/>
        <v>774</v>
      </c>
      <c r="B777" s="54"/>
      <c r="C777" s="52"/>
      <c r="D777" s="55"/>
    </row>
    <row r="778" spans="1:4" x14ac:dyDescent="0.25">
      <c r="A778" s="49">
        <f t="shared" si="12"/>
        <v>775</v>
      </c>
      <c r="B778" s="54"/>
      <c r="C778" s="52"/>
      <c r="D778" s="55"/>
    </row>
    <row r="779" spans="1:4" x14ac:dyDescent="0.25">
      <c r="A779" s="49">
        <f t="shared" si="12"/>
        <v>776</v>
      </c>
      <c r="B779" s="54"/>
      <c r="C779" s="52"/>
      <c r="D779" s="55"/>
    </row>
    <row r="780" spans="1:4" x14ac:dyDescent="0.25">
      <c r="A780" s="49">
        <f t="shared" si="12"/>
        <v>777</v>
      </c>
      <c r="B780" s="54"/>
      <c r="C780" s="52"/>
      <c r="D780" s="55"/>
    </row>
    <row r="781" spans="1:4" x14ac:dyDescent="0.25">
      <c r="A781" s="49">
        <f t="shared" si="12"/>
        <v>778</v>
      </c>
      <c r="B781" s="54"/>
      <c r="C781" s="52"/>
      <c r="D781" s="55"/>
    </row>
    <row r="782" spans="1:4" x14ac:dyDescent="0.25">
      <c r="A782" s="49">
        <f t="shared" si="12"/>
        <v>779</v>
      </c>
      <c r="B782" s="54"/>
      <c r="C782" s="52"/>
      <c r="D782" s="55"/>
    </row>
    <row r="783" spans="1:4" x14ac:dyDescent="0.25">
      <c r="A783" s="49">
        <f t="shared" si="12"/>
        <v>780</v>
      </c>
      <c r="B783" s="54"/>
      <c r="C783" s="52"/>
      <c r="D783" s="55"/>
    </row>
    <row r="784" spans="1:4" x14ac:dyDescent="0.25">
      <c r="A784" s="49">
        <f t="shared" si="12"/>
        <v>781</v>
      </c>
      <c r="B784" s="54"/>
      <c r="C784" s="52"/>
      <c r="D784" s="55"/>
    </row>
    <row r="785" spans="1:4" x14ac:dyDescent="0.25">
      <c r="A785" s="49">
        <f t="shared" si="12"/>
        <v>782</v>
      </c>
      <c r="B785" s="54"/>
      <c r="C785" s="52"/>
      <c r="D785" s="55"/>
    </row>
    <row r="786" spans="1:4" x14ac:dyDescent="0.25">
      <c r="A786" s="49">
        <f t="shared" si="12"/>
        <v>783</v>
      </c>
      <c r="B786" s="54"/>
      <c r="C786" s="52"/>
      <c r="D786" s="55"/>
    </row>
    <row r="787" spans="1:4" x14ac:dyDescent="0.25">
      <c r="A787" s="49">
        <f t="shared" si="12"/>
        <v>784</v>
      </c>
      <c r="B787" s="54"/>
      <c r="C787" s="52"/>
      <c r="D787" s="55"/>
    </row>
    <row r="788" spans="1:4" x14ac:dyDescent="0.25">
      <c r="A788" s="49">
        <f t="shared" si="12"/>
        <v>785</v>
      </c>
      <c r="B788" s="54"/>
      <c r="C788" s="52"/>
      <c r="D788" s="55"/>
    </row>
    <row r="789" spans="1:4" x14ac:dyDescent="0.25">
      <c r="A789" s="49">
        <f t="shared" si="12"/>
        <v>786</v>
      </c>
      <c r="B789" s="54"/>
      <c r="C789" s="52"/>
      <c r="D789" s="55"/>
    </row>
    <row r="790" spans="1:4" x14ac:dyDescent="0.25">
      <c r="A790" s="49">
        <f t="shared" si="12"/>
        <v>787</v>
      </c>
      <c r="B790" s="54"/>
      <c r="C790" s="52"/>
      <c r="D790" s="55"/>
    </row>
    <row r="791" spans="1:4" x14ac:dyDescent="0.25">
      <c r="A791" s="49">
        <f t="shared" si="12"/>
        <v>788</v>
      </c>
      <c r="B791" s="54"/>
      <c r="C791" s="52"/>
      <c r="D791" s="55"/>
    </row>
    <row r="792" spans="1:4" x14ac:dyDescent="0.25">
      <c r="A792" s="49">
        <f t="shared" si="12"/>
        <v>789</v>
      </c>
      <c r="B792" s="54"/>
      <c r="C792" s="52"/>
      <c r="D792" s="55"/>
    </row>
    <row r="793" spans="1:4" x14ac:dyDescent="0.25">
      <c r="A793" s="49">
        <f t="shared" si="12"/>
        <v>790</v>
      </c>
      <c r="B793" s="54"/>
      <c r="C793" s="52"/>
      <c r="D793" s="55"/>
    </row>
    <row r="794" spans="1:4" x14ac:dyDescent="0.25">
      <c r="A794" s="49">
        <f t="shared" si="12"/>
        <v>791</v>
      </c>
      <c r="B794" s="54"/>
      <c r="C794" s="52"/>
      <c r="D794" s="55"/>
    </row>
    <row r="795" spans="1:4" x14ac:dyDescent="0.25">
      <c r="A795" s="49">
        <f t="shared" si="12"/>
        <v>792</v>
      </c>
      <c r="B795" s="54"/>
      <c r="C795" s="52"/>
      <c r="D795" s="55"/>
    </row>
    <row r="796" spans="1:4" x14ac:dyDescent="0.25">
      <c r="A796" s="49">
        <f t="shared" si="12"/>
        <v>793</v>
      </c>
      <c r="B796" s="54"/>
      <c r="C796" s="52"/>
      <c r="D796" s="55"/>
    </row>
    <row r="797" spans="1:4" x14ac:dyDescent="0.25">
      <c r="A797" s="49">
        <f t="shared" si="12"/>
        <v>794</v>
      </c>
      <c r="B797" s="54"/>
      <c r="C797" s="52"/>
      <c r="D797" s="55"/>
    </row>
    <row r="798" spans="1:4" x14ac:dyDescent="0.25">
      <c r="A798" s="49">
        <f t="shared" si="12"/>
        <v>795</v>
      </c>
      <c r="B798" s="54"/>
      <c r="C798" s="52"/>
      <c r="D798" s="55"/>
    </row>
    <row r="799" spans="1:4" x14ac:dyDescent="0.25">
      <c r="A799" s="49">
        <f t="shared" si="12"/>
        <v>796</v>
      </c>
      <c r="B799" s="54"/>
      <c r="C799" s="52"/>
      <c r="D799" s="55"/>
    </row>
    <row r="800" spans="1:4" x14ac:dyDescent="0.25">
      <c r="A800" s="49">
        <f t="shared" si="12"/>
        <v>797</v>
      </c>
      <c r="B800" s="54"/>
      <c r="C800" s="52"/>
      <c r="D800" s="55"/>
    </row>
    <row r="801" spans="1:4" x14ac:dyDescent="0.25">
      <c r="A801" s="49">
        <f t="shared" si="12"/>
        <v>798</v>
      </c>
      <c r="B801" s="54"/>
      <c r="C801" s="52"/>
      <c r="D801" s="55"/>
    </row>
    <row r="802" spans="1:4" x14ac:dyDescent="0.25">
      <c r="A802" s="49">
        <f t="shared" si="12"/>
        <v>799</v>
      </c>
      <c r="B802" s="54"/>
      <c r="C802" s="52"/>
      <c r="D802" s="55"/>
    </row>
    <row r="803" spans="1:4" x14ac:dyDescent="0.25">
      <c r="A803" s="49">
        <f t="shared" si="12"/>
        <v>800</v>
      </c>
      <c r="B803" s="54"/>
      <c r="C803" s="52"/>
      <c r="D803" s="55"/>
    </row>
    <row r="804" spans="1:4" x14ac:dyDescent="0.25">
      <c r="A804" s="49">
        <f t="shared" si="12"/>
        <v>801</v>
      </c>
      <c r="B804" s="54"/>
      <c r="C804" s="52"/>
      <c r="D804" s="55"/>
    </row>
    <row r="805" spans="1:4" x14ac:dyDescent="0.25">
      <c r="A805" s="49">
        <f t="shared" si="12"/>
        <v>802</v>
      </c>
      <c r="B805" s="54"/>
      <c r="C805" s="52"/>
      <c r="D805" s="55"/>
    </row>
    <row r="806" spans="1:4" x14ac:dyDescent="0.25">
      <c r="A806" s="49">
        <f t="shared" si="12"/>
        <v>803</v>
      </c>
      <c r="B806" s="54"/>
      <c r="C806" s="52"/>
      <c r="D806" s="55"/>
    </row>
    <row r="807" spans="1:4" x14ac:dyDescent="0.25">
      <c r="A807" s="49">
        <f t="shared" si="12"/>
        <v>804</v>
      </c>
      <c r="B807" s="54"/>
      <c r="C807" s="52"/>
      <c r="D807" s="55"/>
    </row>
    <row r="808" spans="1:4" x14ac:dyDescent="0.25">
      <c r="A808" s="49">
        <f t="shared" si="12"/>
        <v>805</v>
      </c>
      <c r="B808" s="54"/>
      <c r="C808" s="52"/>
      <c r="D808" s="55"/>
    </row>
    <row r="809" spans="1:4" x14ac:dyDescent="0.25">
      <c r="A809" s="49">
        <f t="shared" si="12"/>
        <v>806</v>
      </c>
      <c r="B809" s="54"/>
      <c r="C809" s="52"/>
      <c r="D809" s="55"/>
    </row>
    <row r="810" spans="1:4" x14ac:dyDescent="0.25">
      <c r="A810" s="49">
        <f t="shared" si="12"/>
        <v>807</v>
      </c>
      <c r="B810" s="54"/>
      <c r="C810" s="52"/>
      <c r="D810" s="55"/>
    </row>
    <row r="811" spans="1:4" x14ac:dyDescent="0.25">
      <c r="A811" s="49">
        <f t="shared" si="12"/>
        <v>808</v>
      </c>
      <c r="B811" s="54"/>
      <c r="C811" s="52"/>
      <c r="D811" s="55"/>
    </row>
    <row r="812" spans="1:4" x14ac:dyDescent="0.25">
      <c r="A812" s="49">
        <f t="shared" si="12"/>
        <v>809</v>
      </c>
      <c r="B812" s="54"/>
      <c r="C812" s="52"/>
      <c r="D812" s="55"/>
    </row>
    <row r="813" spans="1:4" x14ac:dyDescent="0.25">
      <c r="A813" s="49">
        <f t="shared" si="12"/>
        <v>810</v>
      </c>
      <c r="B813" s="54"/>
      <c r="C813" s="52"/>
      <c r="D813" s="55"/>
    </row>
    <row r="814" spans="1:4" x14ac:dyDescent="0.25">
      <c r="A814" s="49">
        <f t="shared" si="12"/>
        <v>811</v>
      </c>
      <c r="B814" s="54"/>
      <c r="C814" s="52"/>
      <c r="D814" s="55"/>
    </row>
    <row r="815" spans="1:4" x14ac:dyDescent="0.25">
      <c r="A815" s="49">
        <f t="shared" si="12"/>
        <v>812</v>
      </c>
      <c r="B815" s="54"/>
      <c r="C815" s="52"/>
      <c r="D815" s="55"/>
    </row>
    <row r="816" spans="1:4" x14ac:dyDescent="0.25">
      <c r="A816" s="49">
        <f t="shared" si="12"/>
        <v>813</v>
      </c>
      <c r="B816" s="54"/>
      <c r="C816" s="52"/>
      <c r="D816" s="55"/>
    </row>
    <row r="817" spans="1:4" x14ac:dyDescent="0.25">
      <c r="A817" s="49">
        <f t="shared" si="12"/>
        <v>814</v>
      </c>
      <c r="B817" s="54"/>
      <c r="C817" s="52"/>
      <c r="D817" s="55"/>
    </row>
    <row r="818" spans="1:4" x14ac:dyDescent="0.25">
      <c r="A818" s="49">
        <f t="shared" si="12"/>
        <v>815</v>
      </c>
      <c r="B818" s="54"/>
      <c r="C818" s="52"/>
      <c r="D818" s="55"/>
    </row>
    <row r="819" spans="1:4" x14ac:dyDescent="0.25">
      <c r="A819" s="49">
        <f t="shared" si="12"/>
        <v>816</v>
      </c>
      <c r="B819" s="54"/>
      <c r="C819" s="52"/>
      <c r="D819" s="55"/>
    </row>
    <row r="820" spans="1:4" x14ac:dyDescent="0.25">
      <c r="A820" s="49">
        <f t="shared" si="12"/>
        <v>817</v>
      </c>
      <c r="B820" s="54"/>
      <c r="C820" s="52"/>
      <c r="D820" s="55"/>
    </row>
    <row r="821" spans="1:4" x14ac:dyDescent="0.25">
      <c r="A821" s="49">
        <f t="shared" si="12"/>
        <v>818</v>
      </c>
      <c r="B821" s="54"/>
      <c r="C821" s="52"/>
      <c r="D821" s="55"/>
    </row>
    <row r="822" spans="1:4" x14ac:dyDescent="0.25">
      <c r="A822" s="49">
        <f t="shared" si="12"/>
        <v>819</v>
      </c>
      <c r="B822" s="54"/>
      <c r="C822" s="52"/>
      <c r="D822" s="55"/>
    </row>
    <row r="823" spans="1:4" x14ac:dyDescent="0.25">
      <c r="A823" s="49">
        <f t="shared" si="12"/>
        <v>820</v>
      </c>
      <c r="B823" s="54"/>
      <c r="C823" s="52"/>
      <c r="D823" s="55"/>
    </row>
    <row r="824" spans="1:4" x14ac:dyDescent="0.25">
      <c r="A824" s="49">
        <f t="shared" si="12"/>
        <v>821</v>
      </c>
      <c r="B824" s="54"/>
      <c r="C824" s="52"/>
      <c r="D824" s="55"/>
    </row>
    <row r="825" spans="1:4" x14ac:dyDescent="0.25">
      <c r="A825" s="49">
        <f t="shared" si="12"/>
        <v>822</v>
      </c>
      <c r="B825" s="54"/>
      <c r="C825" s="52"/>
      <c r="D825" s="55"/>
    </row>
    <row r="826" spans="1:4" x14ac:dyDescent="0.25">
      <c r="A826" s="49">
        <f t="shared" si="12"/>
        <v>823</v>
      </c>
      <c r="B826" s="54"/>
      <c r="C826" s="52"/>
      <c r="D826" s="55"/>
    </row>
    <row r="827" spans="1:4" x14ac:dyDescent="0.25">
      <c r="A827" s="49">
        <f t="shared" si="12"/>
        <v>824</v>
      </c>
      <c r="B827" s="54"/>
      <c r="C827" s="52"/>
      <c r="D827" s="55"/>
    </row>
    <row r="828" spans="1:4" x14ac:dyDescent="0.25">
      <c r="A828" s="49">
        <f t="shared" si="12"/>
        <v>825</v>
      </c>
      <c r="B828" s="54"/>
      <c r="C828" s="52"/>
      <c r="D828" s="55"/>
    </row>
    <row r="829" spans="1:4" x14ac:dyDescent="0.25">
      <c r="A829" s="49">
        <f t="shared" si="12"/>
        <v>826</v>
      </c>
      <c r="B829" s="54"/>
      <c r="C829" s="52"/>
      <c r="D829" s="55"/>
    </row>
    <row r="830" spans="1:4" x14ac:dyDescent="0.25">
      <c r="A830" s="49">
        <f t="shared" si="12"/>
        <v>827</v>
      </c>
      <c r="B830" s="54"/>
      <c r="C830" s="52"/>
      <c r="D830" s="55"/>
    </row>
    <row r="831" spans="1:4" x14ac:dyDescent="0.25">
      <c r="A831" s="49">
        <f t="shared" si="12"/>
        <v>828</v>
      </c>
      <c r="B831" s="54"/>
      <c r="C831" s="52"/>
      <c r="D831" s="55"/>
    </row>
    <row r="832" spans="1:4" x14ac:dyDescent="0.25">
      <c r="A832" s="49">
        <f t="shared" si="12"/>
        <v>829</v>
      </c>
      <c r="B832" s="54"/>
      <c r="C832" s="52"/>
      <c r="D832" s="55"/>
    </row>
    <row r="833" spans="1:4" x14ac:dyDescent="0.25">
      <c r="A833" s="49">
        <f t="shared" si="12"/>
        <v>830</v>
      </c>
      <c r="B833" s="54"/>
      <c r="C833" s="52"/>
      <c r="D833" s="55"/>
    </row>
    <row r="834" spans="1:4" x14ac:dyDescent="0.25">
      <c r="A834" s="49">
        <f t="shared" si="12"/>
        <v>831</v>
      </c>
      <c r="B834" s="54"/>
      <c r="C834" s="52"/>
      <c r="D834" s="55"/>
    </row>
    <row r="835" spans="1:4" x14ac:dyDescent="0.25">
      <c r="A835" s="49">
        <f t="shared" si="12"/>
        <v>832</v>
      </c>
      <c r="B835" s="54"/>
      <c r="C835" s="52"/>
      <c r="D835" s="55"/>
    </row>
    <row r="836" spans="1:4" x14ac:dyDescent="0.25">
      <c r="A836" s="49">
        <f t="shared" ref="A836:A899" si="13">ROW()-3</f>
        <v>833</v>
      </c>
      <c r="B836" s="54"/>
      <c r="C836" s="52"/>
      <c r="D836" s="55"/>
    </row>
    <row r="837" spans="1:4" x14ac:dyDescent="0.25">
      <c r="A837" s="49">
        <f t="shared" si="13"/>
        <v>834</v>
      </c>
      <c r="B837" s="54"/>
      <c r="C837" s="52"/>
      <c r="D837" s="55"/>
    </row>
    <row r="838" spans="1:4" x14ac:dyDescent="0.25">
      <c r="A838" s="49">
        <f t="shared" si="13"/>
        <v>835</v>
      </c>
      <c r="B838" s="54"/>
      <c r="C838" s="52"/>
      <c r="D838" s="55"/>
    </row>
    <row r="839" spans="1:4" x14ac:dyDescent="0.25">
      <c r="A839" s="49">
        <f t="shared" si="13"/>
        <v>836</v>
      </c>
      <c r="B839" s="54"/>
      <c r="C839" s="52"/>
      <c r="D839" s="55"/>
    </row>
    <row r="840" spans="1:4" x14ac:dyDescent="0.25">
      <c r="A840" s="49">
        <f t="shared" si="13"/>
        <v>837</v>
      </c>
      <c r="B840" s="54"/>
      <c r="C840" s="52"/>
      <c r="D840" s="55"/>
    </row>
    <row r="841" spans="1:4" x14ac:dyDescent="0.25">
      <c r="A841" s="49">
        <f t="shared" si="13"/>
        <v>838</v>
      </c>
      <c r="B841" s="54"/>
      <c r="C841" s="52"/>
      <c r="D841" s="55"/>
    </row>
    <row r="842" spans="1:4" x14ac:dyDescent="0.25">
      <c r="A842" s="49">
        <f t="shared" si="13"/>
        <v>839</v>
      </c>
      <c r="B842" s="54"/>
      <c r="C842" s="52"/>
      <c r="D842" s="55"/>
    </row>
    <row r="843" spans="1:4" x14ac:dyDescent="0.25">
      <c r="A843" s="49">
        <f t="shared" si="13"/>
        <v>840</v>
      </c>
      <c r="B843" s="54"/>
      <c r="C843" s="52"/>
      <c r="D843" s="55"/>
    </row>
    <row r="844" spans="1:4" x14ac:dyDescent="0.25">
      <c r="A844" s="49">
        <f t="shared" si="13"/>
        <v>841</v>
      </c>
      <c r="B844" s="54"/>
      <c r="C844" s="52"/>
      <c r="D844" s="55"/>
    </row>
    <row r="845" spans="1:4" x14ac:dyDescent="0.25">
      <c r="A845" s="49">
        <f t="shared" si="13"/>
        <v>842</v>
      </c>
      <c r="B845" s="54"/>
      <c r="C845" s="52"/>
      <c r="D845" s="55"/>
    </row>
    <row r="846" spans="1:4" x14ac:dyDescent="0.25">
      <c r="A846" s="49">
        <f t="shared" si="13"/>
        <v>843</v>
      </c>
      <c r="B846" s="54"/>
      <c r="C846" s="52"/>
      <c r="D846" s="55"/>
    </row>
    <row r="847" spans="1:4" x14ac:dyDescent="0.25">
      <c r="A847" s="49">
        <f t="shared" si="13"/>
        <v>844</v>
      </c>
      <c r="B847" s="54"/>
      <c r="C847" s="52"/>
      <c r="D847" s="55"/>
    </row>
    <row r="848" spans="1:4" x14ac:dyDescent="0.25">
      <c r="A848" s="49">
        <f t="shared" si="13"/>
        <v>845</v>
      </c>
      <c r="B848" s="54"/>
      <c r="C848" s="52"/>
      <c r="D848" s="55"/>
    </row>
    <row r="849" spans="1:4" x14ac:dyDescent="0.25">
      <c r="A849" s="49">
        <f t="shared" si="13"/>
        <v>846</v>
      </c>
      <c r="B849" s="54"/>
      <c r="C849" s="52"/>
      <c r="D849" s="55"/>
    </row>
    <row r="850" spans="1:4" x14ac:dyDescent="0.25">
      <c r="A850" s="49">
        <f t="shared" si="13"/>
        <v>847</v>
      </c>
      <c r="B850" s="54"/>
      <c r="C850" s="52"/>
      <c r="D850" s="55"/>
    </row>
    <row r="851" spans="1:4" x14ac:dyDescent="0.25">
      <c r="A851" s="49">
        <f t="shared" si="13"/>
        <v>848</v>
      </c>
      <c r="B851" s="54"/>
      <c r="C851" s="52"/>
      <c r="D851" s="55"/>
    </row>
    <row r="852" spans="1:4" x14ac:dyDescent="0.25">
      <c r="A852" s="49">
        <f t="shared" si="13"/>
        <v>849</v>
      </c>
      <c r="B852" s="54"/>
      <c r="C852" s="52"/>
      <c r="D852" s="55"/>
    </row>
    <row r="853" spans="1:4" x14ac:dyDescent="0.25">
      <c r="A853" s="49">
        <f t="shared" si="13"/>
        <v>850</v>
      </c>
      <c r="B853" s="54"/>
      <c r="C853" s="52"/>
      <c r="D853" s="55"/>
    </row>
    <row r="854" spans="1:4" x14ac:dyDescent="0.25">
      <c r="A854" s="49">
        <f t="shared" si="13"/>
        <v>851</v>
      </c>
      <c r="B854" s="54"/>
      <c r="C854" s="52"/>
      <c r="D854" s="55"/>
    </row>
    <row r="855" spans="1:4" x14ac:dyDescent="0.25">
      <c r="A855" s="49">
        <f t="shared" si="13"/>
        <v>852</v>
      </c>
      <c r="B855" s="54"/>
      <c r="C855" s="52"/>
      <c r="D855" s="55"/>
    </row>
    <row r="856" spans="1:4" x14ac:dyDescent="0.25">
      <c r="A856" s="49">
        <f t="shared" si="13"/>
        <v>853</v>
      </c>
      <c r="B856" s="54"/>
      <c r="C856" s="52"/>
      <c r="D856" s="55"/>
    </row>
    <row r="857" spans="1:4" x14ac:dyDescent="0.25">
      <c r="A857" s="49">
        <f t="shared" si="13"/>
        <v>854</v>
      </c>
      <c r="B857" s="54"/>
      <c r="C857" s="52"/>
      <c r="D857" s="55"/>
    </row>
    <row r="858" spans="1:4" x14ac:dyDescent="0.25">
      <c r="A858" s="49">
        <f t="shared" si="13"/>
        <v>855</v>
      </c>
      <c r="B858" s="54"/>
      <c r="C858" s="52"/>
      <c r="D858" s="55"/>
    </row>
    <row r="859" spans="1:4" x14ac:dyDescent="0.25">
      <c r="A859" s="49">
        <f t="shared" si="13"/>
        <v>856</v>
      </c>
      <c r="B859" s="54"/>
      <c r="C859" s="52"/>
      <c r="D859" s="55"/>
    </row>
    <row r="860" spans="1:4" x14ac:dyDescent="0.25">
      <c r="A860" s="49">
        <f t="shared" si="13"/>
        <v>857</v>
      </c>
      <c r="B860" s="54"/>
      <c r="C860" s="52"/>
      <c r="D860" s="55"/>
    </row>
    <row r="861" spans="1:4" x14ac:dyDescent="0.25">
      <c r="A861" s="49">
        <f t="shared" si="13"/>
        <v>858</v>
      </c>
      <c r="B861" s="54"/>
      <c r="C861" s="52"/>
      <c r="D861" s="55"/>
    </row>
    <row r="862" spans="1:4" x14ac:dyDescent="0.25">
      <c r="A862" s="49">
        <f t="shared" si="13"/>
        <v>859</v>
      </c>
      <c r="B862" s="54"/>
      <c r="C862" s="52"/>
      <c r="D862" s="55"/>
    </row>
    <row r="863" spans="1:4" x14ac:dyDescent="0.25">
      <c r="A863" s="49">
        <f t="shared" si="13"/>
        <v>860</v>
      </c>
      <c r="B863" s="54"/>
      <c r="C863" s="52"/>
      <c r="D863" s="55"/>
    </row>
    <row r="864" spans="1:4" x14ac:dyDescent="0.25">
      <c r="A864" s="49">
        <f t="shared" si="13"/>
        <v>861</v>
      </c>
      <c r="B864" s="54"/>
      <c r="C864" s="52"/>
      <c r="D864" s="55"/>
    </row>
    <row r="865" spans="1:4" x14ac:dyDescent="0.25">
      <c r="A865" s="49">
        <f t="shared" si="13"/>
        <v>862</v>
      </c>
      <c r="B865" s="54"/>
      <c r="C865" s="52"/>
      <c r="D865" s="55"/>
    </row>
    <row r="866" spans="1:4" x14ac:dyDescent="0.25">
      <c r="A866" s="49">
        <f t="shared" si="13"/>
        <v>863</v>
      </c>
      <c r="B866" s="54"/>
      <c r="C866" s="52"/>
      <c r="D866" s="55"/>
    </row>
    <row r="867" spans="1:4" x14ac:dyDescent="0.25">
      <c r="A867" s="49">
        <f t="shared" si="13"/>
        <v>864</v>
      </c>
      <c r="B867" s="54"/>
      <c r="C867" s="52"/>
      <c r="D867" s="55"/>
    </row>
    <row r="868" spans="1:4" x14ac:dyDescent="0.25">
      <c r="A868" s="49">
        <f t="shared" si="13"/>
        <v>865</v>
      </c>
      <c r="B868" s="54"/>
      <c r="C868" s="52"/>
      <c r="D868" s="55"/>
    </row>
    <row r="869" spans="1:4" x14ac:dyDescent="0.25">
      <c r="A869" s="49">
        <f t="shared" si="13"/>
        <v>866</v>
      </c>
      <c r="B869" s="54"/>
      <c r="C869" s="52"/>
      <c r="D869" s="55"/>
    </row>
    <row r="870" spans="1:4" x14ac:dyDescent="0.25">
      <c r="A870" s="49">
        <f t="shared" si="13"/>
        <v>867</v>
      </c>
      <c r="B870" s="54"/>
      <c r="C870" s="52"/>
      <c r="D870" s="55"/>
    </row>
    <row r="871" spans="1:4" x14ac:dyDescent="0.25">
      <c r="A871" s="49">
        <f t="shared" si="13"/>
        <v>868</v>
      </c>
      <c r="B871" s="54"/>
      <c r="C871" s="52"/>
      <c r="D871" s="55"/>
    </row>
    <row r="872" spans="1:4" x14ac:dyDescent="0.25">
      <c r="A872" s="49">
        <f t="shared" si="13"/>
        <v>869</v>
      </c>
      <c r="B872" s="54"/>
      <c r="C872" s="52"/>
      <c r="D872" s="55"/>
    </row>
    <row r="873" spans="1:4" x14ac:dyDescent="0.25">
      <c r="A873" s="49">
        <f t="shared" si="13"/>
        <v>870</v>
      </c>
      <c r="B873" s="54"/>
      <c r="C873" s="52"/>
      <c r="D873" s="55"/>
    </row>
    <row r="874" spans="1:4" x14ac:dyDescent="0.25">
      <c r="A874" s="49">
        <f t="shared" si="13"/>
        <v>871</v>
      </c>
      <c r="B874" s="54"/>
      <c r="C874" s="52"/>
      <c r="D874" s="55"/>
    </row>
    <row r="875" spans="1:4" x14ac:dyDescent="0.25">
      <c r="A875" s="49">
        <f t="shared" si="13"/>
        <v>872</v>
      </c>
      <c r="B875" s="54"/>
      <c r="C875" s="52"/>
      <c r="D875" s="55"/>
    </row>
    <row r="876" spans="1:4" x14ac:dyDescent="0.25">
      <c r="A876" s="49">
        <f t="shared" si="13"/>
        <v>873</v>
      </c>
      <c r="B876" s="54"/>
      <c r="C876" s="52"/>
      <c r="D876" s="55"/>
    </row>
    <row r="877" spans="1:4" x14ac:dyDescent="0.25">
      <c r="A877" s="49">
        <f t="shared" si="13"/>
        <v>874</v>
      </c>
      <c r="B877" s="54"/>
      <c r="C877" s="52"/>
      <c r="D877" s="55"/>
    </row>
    <row r="878" spans="1:4" x14ac:dyDescent="0.25">
      <c r="A878" s="49">
        <f t="shared" si="13"/>
        <v>875</v>
      </c>
      <c r="B878" s="54"/>
      <c r="C878" s="52"/>
      <c r="D878" s="55"/>
    </row>
    <row r="879" spans="1:4" x14ac:dyDescent="0.25">
      <c r="A879" s="49">
        <f t="shared" si="13"/>
        <v>876</v>
      </c>
      <c r="B879" s="54"/>
      <c r="C879" s="52"/>
      <c r="D879" s="55"/>
    </row>
    <row r="880" spans="1:4" x14ac:dyDescent="0.25">
      <c r="A880" s="49">
        <f t="shared" si="13"/>
        <v>877</v>
      </c>
      <c r="B880" s="54"/>
      <c r="C880" s="52"/>
      <c r="D880" s="55"/>
    </row>
    <row r="881" spans="1:4" x14ac:dyDescent="0.25">
      <c r="A881" s="49">
        <f t="shared" si="13"/>
        <v>878</v>
      </c>
      <c r="B881" s="54"/>
      <c r="C881" s="52"/>
      <c r="D881" s="55"/>
    </row>
    <row r="882" spans="1:4" x14ac:dyDescent="0.25">
      <c r="A882" s="49">
        <f t="shared" si="13"/>
        <v>879</v>
      </c>
      <c r="B882" s="54"/>
      <c r="C882" s="52"/>
      <c r="D882" s="55"/>
    </row>
    <row r="883" spans="1:4" x14ac:dyDescent="0.25">
      <c r="A883" s="49">
        <f t="shared" si="13"/>
        <v>880</v>
      </c>
      <c r="B883" s="54"/>
      <c r="C883" s="52"/>
      <c r="D883" s="55"/>
    </row>
    <row r="884" spans="1:4" x14ac:dyDescent="0.25">
      <c r="A884" s="49">
        <f t="shared" si="13"/>
        <v>881</v>
      </c>
      <c r="B884" s="54"/>
      <c r="C884" s="52"/>
      <c r="D884" s="55"/>
    </row>
    <row r="885" spans="1:4" x14ac:dyDescent="0.25">
      <c r="A885" s="49">
        <f t="shared" si="13"/>
        <v>882</v>
      </c>
      <c r="B885" s="54"/>
      <c r="C885" s="52"/>
      <c r="D885" s="55"/>
    </row>
    <row r="886" spans="1:4" x14ac:dyDescent="0.25">
      <c r="A886" s="49">
        <f t="shared" si="13"/>
        <v>883</v>
      </c>
      <c r="B886" s="54"/>
      <c r="C886" s="52"/>
      <c r="D886" s="55"/>
    </row>
    <row r="887" spans="1:4" x14ac:dyDescent="0.25">
      <c r="A887" s="49">
        <f t="shared" si="13"/>
        <v>884</v>
      </c>
      <c r="B887" s="54"/>
      <c r="C887" s="52"/>
      <c r="D887" s="55"/>
    </row>
    <row r="888" spans="1:4" x14ac:dyDescent="0.25">
      <c r="A888" s="49">
        <f t="shared" si="13"/>
        <v>885</v>
      </c>
      <c r="B888" s="54"/>
      <c r="C888" s="52"/>
      <c r="D888" s="55"/>
    </row>
    <row r="889" spans="1:4" x14ac:dyDescent="0.25">
      <c r="A889" s="49">
        <f t="shared" si="13"/>
        <v>886</v>
      </c>
      <c r="B889" s="54"/>
      <c r="C889" s="52"/>
      <c r="D889" s="55"/>
    </row>
    <row r="890" spans="1:4" x14ac:dyDescent="0.25">
      <c r="A890" s="49">
        <f t="shared" si="13"/>
        <v>887</v>
      </c>
      <c r="B890" s="54"/>
      <c r="C890" s="52"/>
      <c r="D890" s="55"/>
    </row>
    <row r="891" spans="1:4" x14ac:dyDescent="0.25">
      <c r="A891" s="49">
        <f t="shared" si="13"/>
        <v>888</v>
      </c>
      <c r="B891" s="54"/>
      <c r="C891" s="52"/>
      <c r="D891" s="55"/>
    </row>
    <row r="892" spans="1:4" x14ac:dyDescent="0.25">
      <c r="A892" s="49">
        <f t="shared" si="13"/>
        <v>889</v>
      </c>
      <c r="B892" s="54"/>
      <c r="C892" s="52"/>
      <c r="D892" s="55"/>
    </row>
    <row r="893" spans="1:4" x14ac:dyDescent="0.25">
      <c r="A893" s="49">
        <f t="shared" si="13"/>
        <v>890</v>
      </c>
      <c r="B893" s="54"/>
      <c r="C893" s="52"/>
      <c r="D893" s="55"/>
    </row>
    <row r="894" spans="1:4" x14ac:dyDescent="0.25">
      <c r="A894" s="49">
        <f t="shared" si="13"/>
        <v>891</v>
      </c>
      <c r="B894" s="54"/>
      <c r="C894" s="52"/>
      <c r="D894" s="55"/>
    </row>
    <row r="895" spans="1:4" x14ac:dyDescent="0.25">
      <c r="A895" s="49">
        <f t="shared" si="13"/>
        <v>892</v>
      </c>
      <c r="B895" s="54"/>
      <c r="C895" s="52"/>
      <c r="D895" s="55"/>
    </row>
    <row r="896" spans="1:4" x14ac:dyDescent="0.25">
      <c r="A896" s="49">
        <f t="shared" si="13"/>
        <v>893</v>
      </c>
      <c r="B896" s="54"/>
      <c r="C896" s="52"/>
      <c r="D896" s="55"/>
    </row>
    <row r="897" spans="1:4" x14ac:dyDescent="0.25">
      <c r="A897" s="49">
        <f t="shared" si="13"/>
        <v>894</v>
      </c>
      <c r="B897" s="54"/>
      <c r="C897" s="52"/>
      <c r="D897" s="55"/>
    </row>
    <row r="898" spans="1:4" x14ac:dyDescent="0.25">
      <c r="A898" s="49">
        <f t="shared" si="13"/>
        <v>895</v>
      </c>
      <c r="B898" s="54"/>
      <c r="C898" s="52"/>
      <c r="D898" s="55"/>
    </row>
    <row r="899" spans="1:4" x14ac:dyDescent="0.25">
      <c r="A899" s="49">
        <f t="shared" si="13"/>
        <v>896</v>
      </c>
      <c r="B899" s="54"/>
      <c r="C899" s="52"/>
      <c r="D899" s="55"/>
    </row>
    <row r="900" spans="1:4" x14ac:dyDescent="0.25">
      <c r="A900" s="49">
        <f t="shared" ref="A900:A963" si="14">ROW()-3</f>
        <v>897</v>
      </c>
      <c r="B900" s="54"/>
      <c r="C900" s="52"/>
      <c r="D900" s="55"/>
    </row>
    <row r="901" spans="1:4" x14ac:dyDescent="0.25">
      <c r="A901" s="49">
        <f t="shared" si="14"/>
        <v>898</v>
      </c>
      <c r="B901" s="54"/>
      <c r="C901" s="52"/>
      <c r="D901" s="55"/>
    </row>
    <row r="902" spans="1:4" x14ac:dyDescent="0.25">
      <c r="A902" s="49">
        <f t="shared" si="14"/>
        <v>899</v>
      </c>
      <c r="B902" s="54"/>
      <c r="C902" s="52"/>
      <c r="D902" s="55"/>
    </row>
    <row r="903" spans="1:4" x14ac:dyDescent="0.25">
      <c r="A903" s="49">
        <f t="shared" si="14"/>
        <v>900</v>
      </c>
      <c r="B903" s="54"/>
      <c r="C903" s="52"/>
      <c r="D903" s="55"/>
    </row>
    <row r="904" spans="1:4" x14ac:dyDescent="0.25">
      <c r="A904" s="49">
        <f t="shared" si="14"/>
        <v>901</v>
      </c>
      <c r="B904" s="54"/>
      <c r="C904" s="52"/>
      <c r="D904" s="55"/>
    </row>
    <row r="905" spans="1:4" x14ac:dyDescent="0.25">
      <c r="A905" s="49">
        <f t="shared" si="14"/>
        <v>902</v>
      </c>
      <c r="B905" s="54"/>
      <c r="C905" s="52"/>
      <c r="D905" s="55"/>
    </row>
    <row r="906" spans="1:4" x14ac:dyDescent="0.25">
      <c r="A906" s="49">
        <f t="shared" si="14"/>
        <v>903</v>
      </c>
      <c r="B906" s="54"/>
      <c r="C906" s="52"/>
      <c r="D906" s="55"/>
    </row>
    <row r="907" spans="1:4" x14ac:dyDescent="0.25">
      <c r="A907" s="49">
        <f t="shared" si="14"/>
        <v>904</v>
      </c>
      <c r="B907" s="54"/>
      <c r="C907" s="52"/>
      <c r="D907" s="55"/>
    </row>
    <row r="908" spans="1:4" x14ac:dyDescent="0.25">
      <c r="A908" s="49">
        <f t="shared" si="14"/>
        <v>905</v>
      </c>
      <c r="B908" s="54"/>
      <c r="C908" s="52"/>
      <c r="D908" s="55"/>
    </row>
    <row r="909" spans="1:4" x14ac:dyDescent="0.25">
      <c r="A909" s="49">
        <f t="shared" si="14"/>
        <v>906</v>
      </c>
      <c r="B909" s="54"/>
      <c r="C909" s="52"/>
      <c r="D909" s="55"/>
    </row>
    <row r="910" spans="1:4" x14ac:dyDescent="0.25">
      <c r="A910" s="49">
        <f t="shared" si="14"/>
        <v>907</v>
      </c>
      <c r="B910" s="54"/>
      <c r="C910" s="52"/>
      <c r="D910" s="55"/>
    </row>
    <row r="911" spans="1:4" x14ac:dyDescent="0.25">
      <c r="A911" s="49">
        <f t="shared" si="14"/>
        <v>908</v>
      </c>
      <c r="B911" s="54"/>
      <c r="C911" s="52"/>
      <c r="D911" s="55"/>
    </row>
    <row r="912" spans="1:4" x14ac:dyDescent="0.25">
      <c r="A912" s="49">
        <f t="shared" si="14"/>
        <v>909</v>
      </c>
      <c r="B912" s="54"/>
      <c r="C912" s="52"/>
      <c r="D912" s="55"/>
    </row>
    <row r="913" spans="1:4" x14ac:dyDescent="0.25">
      <c r="A913" s="49">
        <f t="shared" si="14"/>
        <v>910</v>
      </c>
      <c r="B913" s="54"/>
      <c r="C913" s="52"/>
      <c r="D913" s="55"/>
    </row>
    <row r="914" spans="1:4" x14ac:dyDescent="0.25">
      <c r="A914" s="49">
        <f t="shared" si="14"/>
        <v>911</v>
      </c>
      <c r="B914" s="54"/>
      <c r="C914" s="52"/>
      <c r="D914" s="55"/>
    </row>
    <row r="915" spans="1:4" x14ac:dyDescent="0.25">
      <c r="A915" s="49">
        <f t="shared" si="14"/>
        <v>912</v>
      </c>
      <c r="B915" s="54"/>
      <c r="C915" s="52"/>
      <c r="D915" s="55"/>
    </row>
    <row r="916" spans="1:4" x14ac:dyDescent="0.25">
      <c r="A916" s="49">
        <f t="shared" si="14"/>
        <v>913</v>
      </c>
      <c r="B916" s="54"/>
      <c r="C916" s="52"/>
      <c r="D916" s="55"/>
    </row>
    <row r="917" spans="1:4" x14ac:dyDescent="0.25">
      <c r="A917" s="49">
        <f t="shared" si="14"/>
        <v>914</v>
      </c>
      <c r="B917" s="54"/>
      <c r="C917" s="52"/>
      <c r="D917" s="55"/>
    </row>
    <row r="918" spans="1:4" x14ac:dyDescent="0.25">
      <c r="A918" s="49">
        <f t="shared" si="14"/>
        <v>915</v>
      </c>
      <c r="B918" s="54"/>
      <c r="C918" s="52"/>
      <c r="D918" s="55"/>
    </row>
    <row r="919" spans="1:4" x14ac:dyDescent="0.25">
      <c r="A919" s="49">
        <f t="shared" si="14"/>
        <v>916</v>
      </c>
      <c r="B919" s="54"/>
      <c r="C919" s="52"/>
      <c r="D919" s="55"/>
    </row>
    <row r="920" spans="1:4" x14ac:dyDescent="0.25">
      <c r="A920" s="49">
        <f t="shared" si="14"/>
        <v>917</v>
      </c>
      <c r="B920" s="54"/>
      <c r="C920" s="52"/>
      <c r="D920" s="55"/>
    </row>
    <row r="921" spans="1:4" x14ac:dyDescent="0.25">
      <c r="A921" s="49">
        <f t="shared" si="14"/>
        <v>918</v>
      </c>
      <c r="B921" s="54"/>
      <c r="C921" s="52"/>
      <c r="D921" s="55"/>
    </row>
    <row r="922" spans="1:4" x14ac:dyDescent="0.25">
      <c r="A922" s="49">
        <f t="shared" si="14"/>
        <v>919</v>
      </c>
      <c r="B922" s="54"/>
      <c r="C922" s="52"/>
      <c r="D922" s="55"/>
    </row>
    <row r="923" spans="1:4" x14ac:dyDescent="0.25">
      <c r="A923" s="49">
        <f t="shared" si="14"/>
        <v>920</v>
      </c>
      <c r="B923" s="54"/>
      <c r="C923" s="52"/>
      <c r="D923" s="55"/>
    </row>
    <row r="924" spans="1:4" x14ac:dyDescent="0.25">
      <c r="A924" s="49">
        <f t="shared" si="14"/>
        <v>921</v>
      </c>
      <c r="B924" s="54"/>
      <c r="C924" s="52"/>
      <c r="D924" s="55"/>
    </row>
    <row r="925" spans="1:4" x14ac:dyDescent="0.25">
      <c r="A925" s="49">
        <f t="shared" si="14"/>
        <v>922</v>
      </c>
      <c r="B925" s="54"/>
      <c r="C925" s="52"/>
      <c r="D925" s="55"/>
    </row>
    <row r="926" spans="1:4" x14ac:dyDescent="0.25">
      <c r="A926" s="49">
        <f t="shared" si="14"/>
        <v>923</v>
      </c>
      <c r="B926" s="54"/>
      <c r="C926" s="52"/>
      <c r="D926" s="55"/>
    </row>
    <row r="927" spans="1:4" x14ac:dyDescent="0.25">
      <c r="A927" s="49">
        <f t="shared" si="14"/>
        <v>924</v>
      </c>
      <c r="B927" s="54"/>
      <c r="C927" s="52"/>
      <c r="D927" s="55"/>
    </row>
    <row r="928" spans="1:4" x14ac:dyDescent="0.25">
      <c r="A928" s="49">
        <f t="shared" si="14"/>
        <v>925</v>
      </c>
      <c r="B928" s="54"/>
      <c r="C928" s="52"/>
      <c r="D928" s="55"/>
    </row>
    <row r="929" spans="1:4" x14ac:dyDescent="0.25">
      <c r="A929" s="49">
        <f t="shared" si="14"/>
        <v>926</v>
      </c>
      <c r="B929" s="54"/>
      <c r="C929" s="52"/>
      <c r="D929" s="55"/>
    </row>
    <row r="930" spans="1:4" x14ac:dyDescent="0.25">
      <c r="A930" s="49">
        <f t="shared" si="14"/>
        <v>927</v>
      </c>
      <c r="B930" s="54"/>
      <c r="C930" s="52"/>
      <c r="D930" s="55"/>
    </row>
    <row r="931" spans="1:4" x14ac:dyDescent="0.25">
      <c r="A931" s="49">
        <f t="shared" si="14"/>
        <v>928</v>
      </c>
      <c r="B931" s="54"/>
      <c r="C931" s="52"/>
      <c r="D931" s="55"/>
    </row>
    <row r="932" spans="1:4" x14ac:dyDescent="0.25">
      <c r="A932" s="49">
        <f t="shared" si="14"/>
        <v>929</v>
      </c>
      <c r="B932" s="54"/>
      <c r="C932" s="52"/>
      <c r="D932" s="55"/>
    </row>
    <row r="933" spans="1:4" x14ac:dyDescent="0.25">
      <c r="A933" s="49">
        <f t="shared" si="14"/>
        <v>930</v>
      </c>
      <c r="B933" s="54"/>
      <c r="C933" s="52"/>
      <c r="D933" s="55"/>
    </row>
    <row r="934" spans="1:4" x14ac:dyDescent="0.25">
      <c r="A934" s="49">
        <f t="shared" si="14"/>
        <v>931</v>
      </c>
      <c r="B934" s="54"/>
      <c r="C934" s="52"/>
      <c r="D934" s="55"/>
    </row>
    <row r="935" spans="1:4" x14ac:dyDescent="0.25">
      <c r="A935" s="49">
        <f t="shared" si="14"/>
        <v>932</v>
      </c>
      <c r="B935" s="54"/>
      <c r="C935" s="52"/>
      <c r="D935" s="55"/>
    </row>
    <row r="936" spans="1:4" x14ac:dyDescent="0.25">
      <c r="A936" s="49">
        <f t="shared" si="14"/>
        <v>933</v>
      </c>
      <c r="B936" s="54"/>
      <c r="C936" s="52"/>
      <c r="D936" s="55"/>
    </row>
    <row r="937" spans="1:4" x14ac:dyDescent="0.25">
      <c r="A937" s="49">
        <f t="shared" si="14"/>
        <v>934</v>
      </c>
      <c r="B937" s="54"/>
      <c r="C937" s="52"/>
      <c r="D937" s="55"/>
    </row>
    <row r="938" spans="1:4" x14ac:dyDescent="0.25">
      <c r="A938" s="49">
        <f t="shared" si="14"/>
        <v>935</v>
      </c>
      <c r="B938" s="54"/>
      <c r="C938" s="52"/>
      <c r="D938" s="55"/>
    </row>
    <row r="939" spans="1:4" x14ac:dyDescent="0.25">
      <c r="A939" s="49">
        <f t="shared" si="14"/>
        <v>936</v>
      </c>
      <c r="B939" s="54"/>
      <c r="C939" s="52"/>
      <c r="D939" s="55"/>
    </row>
    <row r="940" spans="1:4" x14ac:dyDescent="0.25">
      <c r="A940" s="49">
        <f t="shared" si="14"/>
        <v>937</v>
      </c>
      <c r="B940" s="54"/>
      <c r="C940" s="52"/>
      <c r="D940" s="55"/>
    </row>
    <row r="941" spans="1:4" x14ac:dyDescent="0.25">
      <c r="A941" s="49">
        <f t="shared" si="14"/>
        <v>938</v>
      </c>
      <c r="B941" s="54"/>
      <c r="C941" s="52"/>
      <c r="D941" s="55"/>
    </row>
    <row r="942" spans="1:4" x14ac:dyDescent="0.25">
      <c r="A942" s="49">
        <f t="shared" si="14"/>
        <v>939</v>
      </c>
      <c r="B942" s="54"/>
      <c r="C942" s="52"/>
      <c r="D942" s="55"/>
    </row>
    <row r="943" spans="1:4" x14ac:dyDescent="0.25">
      <c r="A943" s="49">
        <f t="shared" si="14"/>
        <v>940</v>
      </c>
      <c r="B943" s="54"/>
      <c r="C943" s="52"/>
      <c r="D943" s="55"/>
    </row>
    <row r="944" spans="1:4" x14ac:dyDescent="0.25">
      <c r="A944" s="49">
        <f t="shared" si="14"/>
        <v>941</v>
      </c>
      <c r="B944" s="54"/>
      <c r="C944" s="52"/>
      <c r="D944" s="55"/>
    </row>
    <row r="945" spans="1:4" x14ac:dyDescent="0.25">
      <c r="A945" s="49">
        <f t="shared" si="14"/>
        <v>942</v>
      </c>
      <c r="B945" s="54"/>
      <c r="C945" s="52"/>
      <c r="D945" s="55"/>
    </row>
    <row r="946" spans="1:4" x14ac:dyDescent="0.25">
      <c r="A946" s="49">
        <f t="shared" si="14"/>
        <v>943</v>
      </c>
      <c r="B946" s="54"/>
      <c r="C946" s="52"/>
      <c r="D946" s="55"/>
    </row>
    <row r="947" spans="1:4" x14ac:dyDescent="0.25">
      <c r="A947" s="49">
        <f t="shared" si="14"/>
        <v>944</v>
      </c>
      <c r="B947" s="54"/>
      <c r="C947" s="52"/>
      <c r="D947" s="55"/>
    </row>
    <row r="948" spans="1:4" x14ac:dyDescent="0.25">
      <c r="A948" s="49">
        <f t="shared" si="14"/>
        <v>945</v>
      </c>
      <c r="B948" s="54"/>
      <c r="C948" s="52"/>
      <c r="D948" s="55"/>
    </row>
    <row r="949" spans="1:4" x14ac:dyDescent="0.25">
      <c r="A949" s="49">
        <f t="shared" si="14"/>
        <v>946</v>
      </c>
      <c r="B949" s="54"/>
      <c r="C949" s="52"/>
      <c r="D949" s="55"/>
    </row>
    <row r="950" spans="1:4" x14ac:dyDescent="0.25">
      <c r="A950" s="49">
        <f t="shared" si="14"/>
        <v>947</v>
      </c>
      <c r="B950" s="54"/>
      <c r="C950" s="52"/>
      <c r="D950" s="55"/>
    </row>
    <row r="951" spans="1:4" x14ac:dyDescent="0.25">
      <c r="A951" s="49">
        <f t="shared" si="14"/>
        <v>948</v>
      </c>
      <c r="B951" s="54"/>
      <c r="C951" s="52"/>
      <c r="D951" s="55"/>
    </row>
    <row r="952" spans="1:4" x14ac:dyDescent="0.25">
      <c r="A952" s="49">
        <f t="shared" si="14"/>
        <v>949</v>
      </c>
      <c r="B952" s="54"/>
      <c r="C952" s="52"/>
      <c r="D952" s="55"/>
    </row>
    <row r="953" spans="1:4" x14ac:dyDescent="0.25">
      <c r="A953" s="49">
        <f t="shared" si="14"/>
        <v>950</v>
      </c>
      <c r="B953" s="54"/>
      <c r="C953" s="52"/>
      <c r="D953" s="55"/>
    </row>
    <row r="954" spans="1:4" x14ac:dyDescent="0.25">
      <c r="A954" s="49">
        <f t="shared" si="14"/>
        <v>951</v>
      </c>
      <c r="B954" s="54"/>
      <c r="C954" s="52"/>
      <c r="D954" s="55"/>
    </row>
    <row r="955" spans="1:4" x14ac:dyDescent="0.25">
      <c r="A955" s="49">
        <f t="shared" si="14"/>
        <v>952</v>
      </c>
      <c r="B955" s="54"/>
      <c r="C955" s="52"/>
      <c r="D955" s="55"/>
    </row>
    <row r="956" spans="1:4" x14ac:dyDescent="0.25">
      <c r="A956" s="49">
        <f t="shared" si="14"/>
        <v>953</v>
      </c>
      <c r="B956" s="54"/>
      <c r="C956" s="52"/>
      <c r="D956" s="55"/>
    </row>
    <row r="957" spans="1:4" x14ac:dyDescent="0.25">
      <c r="A957" s="49">
        <f t="shared" si="14"/>
        <v>954</v>
      </c>
      <c r="B957" s="54"/>
      <c r="C957" s="52"/>
      <c r="D957" s="55"/>
    </row>
    <row r="958" spans="1:4" x14ac:dyDescent="0.25">
      <c r="A958" s="49">
        <f t="shared" si="14"/>
        <v>955</v>
      </c>
      <c r="B958" s="54"/>
      <c r="C958" s="52"/>
      <c r="D958" s="55"/>
    </row>
    <row r="959" spans="1:4" x14ac:dyDescent="0.25">
      <c r="A959" s="49">
        <f t="shared" si="14"/>
        <v>956</v>
      </c>
      <c r="B959" s="54"/>
      <c r="C959" s="52"/>
      <c r="D959" s="55"/>
    </row>
    <row r="960" spans="1:4" x14ac:dyDescent="0.25">
      <c r="A960" s="49">
        <f t="shared" si="14"/>
        <v>957</v>
      </c>
      <c r="B960" s="54"/>
      <c r="C960" s="52"/>
      <c r="D960" s="55"/>
    </row>
    <row r="961" spans="1:4" x14ac:dyDescent="0.25">
      <c r="A961" s="49">
        <f t="shared" si="14"/>
        <v>958</v>
      </c>
      <c r="B961" s="54"/>
      <c r="C961" s="52"/>
      <c r="D961" s="55"/>
    </row>
    <row r="962" spans="1:4" x14ac:dyDescent="0.25">
      <c r="A962" s="49">
        <f t="shared" si="14"/>
        <v>959</v>
      </c>
      <c r="B962" s="54"/>
      <c r="C962" s="52"/>
      <c r="D962" s="55"/>
    </row>
    <row r="963" spans="1:4" x14ac:dyDescent="0.25">
      <c r="A963" s="49">
        <f t="shared" si="14"/>
        <v>960</v>
      </c>
      <c r="B963" s="54"/>
      <c r="C963" s="52"/>
      <c r="D963" s="55"/>
    </row>
    <row r="964" spans="1:4" x14ac:dyDescent="0.25">
      <c r="A964" s="49">
        <f t="shared" ref="A964:A1027" si="15">ROW()-3</f>
        <v>961</v>
      </c>
      <c r="B964" s="54"/>
      <c r="C964" s="52"/>
      <c r="D964" s="55"/>
    </row>
    <row r="965" spans="1:4" x14ac:dyDescent="0.25">
      <c r="A965" s="49">
        <f t="shared" si="15"/>
        <v>962</v>
      </c>
      <c r="B965" s="54"/>
      <c r="C965" s="52"/>
      <c r="D965" s="55"/>
    </row>
    <row r="966" spans="1:4" x14ac:dyDescent="0.25">
      <c r="A966" s="49">
        <f t="shared" si="15"/>
        <v>963</v>
      </c>
      <c r="B966" s="54"/>
      <c r="C966" s="52"/>
      <c r="D966" s="55"/>
    </row>
    <row r="967" spans="1:4" x14ac:dyDescent="0.25">
      <c r="A967" s="49">
        <f t="shared" si="15"/>
        <v>964</v>
      </c>
      <c r="B967" s="54"/>
      <c r="C967" s="52"/>
      <c r="D967" s="55"/>
    </row>
    <row r="968" spans="1:4" x14ac:dyDescent="0.25">
      <c r="A968" s="49">
        <f t="shared" si="15"/>
        <v>965</v>
      </c>
      <c r="B968" s="54"/>
      <c r="C968" s="52"/>
      <c r="D968" s="55"/>
    </row>
    <row r="969" spans="1:4" x14ac:dyDescent="0.25">
      <c r="A969" s="49">
        <f t="shared" si="15"/>
        <v>966</v>
      </c>
      <c r="B969" s="54"/>
      <c r="C969" s="52"/>
      <c r="D969" s="55"/>
    </row>
    <row r="970" spans="1:4" x14ac:dyDescent="0.25">
      <c r="A970" s="49">
        <f t="shared" si="15"/>
        <v>967</v>
      </c>
      <c r="B970" s="54"/>
      <c r="C970" s="52"/>
      <c r="D970" s="55"/>
    </row>
    <row r="971" spans="1:4" x14ac:dyDescent="0.25">
      <c r="A971" s="49">
        <f t="shared" si="15"/>
        <v>968</v>
      </c>
      <c r="B971" s="54"/>
      <c r="C971" s="52"/>
      <c r="D971" s="55"/>
    </row>
    <row r="972" spans="1:4" x14ac:dyDescent="0.25">
      <c r="A972" s="49">
        <f t="shared" si="15"/>
        <v>969</v>
      </c>
      <c r="B972" s="54"/>
      <c r="C972" s="52"/>
      <c r="D972" s="55"/>
    </row>
    <row r="973" spans="1:4" x14ac:dyDescent="0.25">
      <c r="A973" s="49">
        <f t="shared" si="15"/>
        <v>970</v>
      </c>
      <c r="B973" s="54"/>
      <c r="C973" s="52"/>
      <c r="D973" s="55"/>
    </row>
    <row r="974" spans="1:4" x14ac:dyDescent="0.25">
      <c r="A974" s="49">
        <f t="shared" si="15"/>
        <v>971</v>
      </c>
      <c r="B974" s="54"/>
      <c r="C974" s="52"/>
      <c r="D974" s="55"/>
    </row>
    <row r="975" spans="1:4" x14ac:dyDescent="0.25">
      <c r="A975" s="49">
        <f t="shared" si="15"/>
        <v>972</v>
      </c>
      <c r="B975" s="54"/>
      <c r="C975" s="52"/>
      <c r="D975" s="55"/>
    </row>
    <row r="976" spans="1:4" x14ac:dyDescent="0.25">
      <c r="A976" s="49">
        <f t="shared" si="15"/>
        <v>973</v>
      </c>
      <c r="B976" s="54"/>
      <c r="C976" s="52"/>
      <c r="D976" s="55"/>
    </row>
    <row r="977" spans="1:4" x14ac:dyDescent="0.25">
      <c r="A977" s="49">
        <f t="shared" si="15"/>
        <v>974</v>
      </c>
      <c r="B977" s="54"/>
      <c r="C977" s="52"/>
      <c r="D977" s="55"/>
    </row>
    <row r="978" spans="1:4" x14ac:dyDescent="0.25">
      <c r="A978" s="49">
        <f t="shared" si="15"/>
        <v>975</v>
      </c>
      <c r="B978" s="54"/>
      <c r="C978" s="52"/>
      <c r="D978" s="55"/>
    </row>
    <row r="979" spans="1:4" x14ac:dyDescent="0.25">
      <c r="A979" s="49">
        <f t="shared" si="15"/>
        <v>976</v>
      </c>
      <c r="B979" s="54"/>
      <c r="C979" s="52"/>
      <c r="D979" s="55"/>
    </row>
    <row r="980" spans="1:4" x14ac:dyDescent="0.25">
      <c r="A980" s="49">
        <f t="shared" si="15"/>
        <v>977</v>
      </c>
      <c r="B980" s="54"/>
      <c r="C980" s="52"/>
      <c r="D980" s="55"/>
    </row>
    <row r="981" spans="1:4" x14ac:dyDescent="0.25">
      <c r="A981" s="49">
        <f t="shared" si="15"/>
        <v>978</v>
      </c>
      <c r="B981" s="54"/>
      <c r="C981" s="52"/>
      <c r="D981" s="55"/>
    </row>
    <row r="982" spans="1:4" x14ac:dyDescent="0.25">
      <c r="A982" s="49">
        <f t="shared" si="15"/>
        <v>979</v>
      </c>
      <c r="B982" s="54"/>
      <c r="C982" s="52"/>
      <c r="D982" s="55"/>
    </row>
    <row r="983" spans="1:4" x14ac:dyDescent="0.25">
      <c r="A983" s="49">
        <f t="shared" si="15"/>
        <v>980</v>
      </c>
      <c r="B983" s="54"/>
      <c r="C983" s="52"/>
      <c r="D983" s="55"/>
    </row>
    <row r="984" spans="1:4" x14ac:dyDescent="0.25">
      <c r="A984" s="49">
        <f t="shared" si="15"/>
        <v>981</v>
      </c>
      <c r="B984" s="54"/>
      <c r="C984" s="52"/>
      <c r="D984" s="55"/>
    </row>
    <row r="985" spans="1:4" x14ac:dyDescent="0.25">
      <c r="A985" s="49">
        <f t="shared" si="15"/>
        <v>982</v>
      </c>
      <c r="B985" s="54"/>
      <c r="C985" s="52"/>
      <c r="D985" s="55"/>
    </row>
    <row r="986" spans="1:4" x14ac:dyDescent="0.25">
      <c r="A986" s="49">
        <f t="shared" si="15"/>
        <v>983</v>
      </c>
      <c r="B986" s="54"/>
      <c r="C986" s="52"/>
      <c r="D986" s="55"/>
    </row>
    <row r="987" spans="1:4" x14ac:dyDescent="0.25">
      <c r="A987" s="49">
        <f t="shared" si="15"/>
        <v>984</v>
      </c>
      <c r="B987" s="54"/>
      <c r="C987" s="52"/>
      <c r="D987" s="55"/>
    </row>
    <row r="988" spans="1:4" x14ac:dyDescent="0.25">
      <c r="A988" s="49">
        <f t="shared" si="15"/>
        <v>985</v>
      </c>
      <c r="B988" s="54"/>
      <c r="C988" s="52"/>
      <c r="D988" s="55"/>
    </row>
    <row r="989" spans="1:4" x14ac:dyDescent="0.25">
      <c r="A989" s="49">
        <f t="shared" si="15"/>
        <v>986</v>
      </c>
      <c r="B989" s="54"/>
      <c r="C989" s="52"/>
      <c r="D989" s="55"/>
    </row>
    <row r="990" spans="1:4" x14ac:dyDescent="0.25">
      <c r="A990" s="49">
        <f t="shared" si="15"/>
        <v>987</v>
      </c>
      <c r="B990" s="54"/>
      <c r="C990" s="52"/>
      <c r="D990" s="55"/>
    </row>
    <row r="991" spans="1:4" x14ac:dyDescent="0.25">
      <c r="A991" s="49">
        <f t="shared" si="15"/>
        <v>988</v>
      </c>
      <c r="B991" s="54"/>
      <c r="C991" s="52"/>
      <c r="D991" s="55"/>
    </row>
    <row r="992" spans="1:4" x14ac:dyDescent="0.25">
      <c r="A992" s="49">
        <f t="shared" si="15"/>
        <v>989</v>
      </c>
      <c r="B992" s="54"/>
      <c r="C992" s="52"/>
      <c r="D992" s="55"/>
    </row>
    <row r="993" spans="1:4" x14ac:dyDescent="0.25">
      <c r="A993" s="49">
        <f t="shared" si="15"/>
        <v>990</v>
      </c>
      <c r="B993" s="54"/>
      <c r="C993" s="52"/>
      <c r="D993" s="55"/>
    </row>
    <row r="994" spans="1:4" x14ac:dyDescent="0.25">
      <c r="A994" s="49">
        <f t="shared" si="15"/>
        <v>991</v>
      </c>
      <c r="B994" s="54"/>
      <c r="C994" s="52"/>
      <c r="D994" s="55"/>
    </row>
    <row r="995" spans="1:4" x14ac:dyDescent="0.25">
      <c r="A995" s="49">
        <f t="shared" si="15"/>
        <v>992</v>
      </c>
      <c r="B995" s="54"/>
      <c r="C995" s="52"/>
      <c r="D995" s="55"/>
    </row>
    <row r="996" spans="1:4" x14ac:dyDescent="0.25">
      <c r="A996" s="49">
        <f t="shared" si="15"/>
        <v>993</v>
      </c>
      <c r="B996" s="54"/>
      <c r="C996" s="52"/>
      <c r="D996" s="55"/>
    </row>
    <row r="997" spans="1:4" x14ac:dyDescent="0.25">
      <c r="A997" s="49">
        <f t="shared" si="15"/>
        <v>994</v>
      </c>
      <c r="B997" s="54"/>
      <c r="C997" s="52"/>
      <c r="D997" s="55"/>
    </row>
    <row r="998" spans="1:4" x14ac:dyDescent="0.25">
      <c r="A998" s="49">
        <f t="shared" si="15"/>
        <v>995</v>
      </c>
      <c r="B998" s="54"/>
      <c r="C998" s="52"/>
      <c r="D998" s="55"/>
    </row>
    <row r="999" spans="1:4" x14ac:dyDescent="0.25">
      <c r="A999" s="49">
        <f t="shared" si="15"/>
        <v>996</v>
      </c>
      <c r="B999" s="54"/>
      <c r="C999" s="52"/>
      <c r="D999" s="55"/>
    </row>
    <row r="1000" spans="1:4" x14ac:dyDescent="0.25">
      <c r="A1000" s="49">
        <f t="shared" si="15"/>
        <v>997</v>
      </c>
      <c r="B1000" s="54"/>
      <c r="C1000" s="52"/>
      <c r="D1000" s="55"/>
    </row>
    <row r="1001" spans="1:4" x14ac:dyDescent="0.25">
      <c r="A1001" s="49">
        <f t="shared" si="15"/>
        <v>998</v>
      </c>
      <c r="B1001" s="54"/>
      <c r="C1001" s="52"/>
      <c r="D1001" s="55"/>
    </row>
    <row r="1002" spans="1:4" x14ac:dyDescent="0.25">
      <c r="A1002" s="49">
        <f t="shared" si="15"/>
        <v>999</v>
      </c>
      <c r="B1002" s="54"/>
      <c r="C1002" s="52"/>
      <c r="D1002" s="55"/>
    </row>
    <row r="1003" spans="1:4" x14ac:dyDescent="0.25">
      <c r="A1003" s="49">
        <f t="shared" si="15"/>
        <v>1000</v>
      </c>
      <c r="B1003" s="54"/>
      <c r="C1003" s="52"/>
      <c r="D1003" s="55"/>
    </row>
    <row r="1004" spans="1:4" x14ac:dyDescent="0.25">
      <c r="A1004" s="49">
        <f t="shared" si="15"/>
        <v>1001</v>
      </c>
      <c r="B1004" s="54"/>
      <c r="C1004" s="52"/>
      <c r="D1004" s="55"/>
    </row>
    <row r="1005" spans="1:4" x14ac:dyDescent="0.25">
      <c r="A1005" s="49">
        <f t="shared" si="15"/>
        <v>1002</v>
      </c>
      <c r="B1005" s="54"/>
      <c r="C1005" s="52"/>
      <c r="D1005" s="55"/>
    </row>
    <row r="1006" spans="1:4" x14ac:dyDescent="0.25">
      <c r="A1006" s="49">
        <f t="shared" si="15"/>
        <v>1003</v>
      </c>
      <c r="B1006" s="54"/>
      <c r="C1006" s="52"/>
      <c r="D1006" s="55"/>
    </row>
    <row r="1007" spans="1:4" x14ac:dyDescent="0.25">
      <c r="A1007" s="49">
        <f t="shared" si="15"/>
        <v>1004</v>
      </c>
      <c r="B1007" s="54"/>
      <c r="C1007" s="52"/>
      <c r="D1007" s="55"/>
    </row>
    <row r="1008" spans="1:4" x14ac:dyDescent="0.25">
      <c r="A1008" s="49">
        <f t="shared" si="15"/>
        <v>1005</v>
      </c>
      <c r="B1008" s="54"/>
      <c r="C1008" s="52"/>
      <c r="D1008" s="55"/>
    </row>
    <row r="1009" spans="1:4" x14ac:dyDescent="0.25">
      <c r="A1009" s="49">
        <f t="shared" si="15"/>
        <v>1006</v>
      </c>
      <c r="B1009" s="54"/>
      <c r="C1009" s="52"/>
      <c r="D1009" s="55"/>
    </row>
    <row r="1010" spans="1:4" x14ac:dyDescent="0.25">
      <c r="A1010" s="49">
        <f t="shared" si="15"/>
        <v>1007</v>
      </c>
      <c r="B1010" s="54"/>
      <c r="C1010" s="52"/>
      <c r="D1010" s="55"/>
    </row>
    <row r="1011" spans="1:4" x14ac:dyDescent="0.25">
      <c r="A1011" s="49">
        <f t="shared" si="15"/>
        <v>1008</v>
      </c>
      <c r="B1011" s="54"/>
      <c r="C1011" s="52"/>
      <c r="D1011" s="55"/>
    </row>
    <row r="1012" spans="1:4" x14ac:dyDescent="0.25">
      <c r="A1012" s="49">
        <f t="shared" si="15"/>
        <v>1009</v>
      </c>
      <c r="B1012" s="54"/>
      <c r="C1012" s="52"/>
      <c r="D1012" s="55"/>
    </row>
    <row r="1013" spans="1:4" x14ac:dyDescent="0.25">
      <c r="A1013" s="49">
        <f t="shared" si="15"/>
        <v>1010</v>
      </c>
      <c r="B1013" s="54"/>
      <c r="C1013" s="52"/>
      <c r="D1013" s="55"/>
    </row>
    <row r="1014" spans="1:4" x14ac:dyDescent="0.25">
      <c r="A1014" s="49">
        <f t="shared" si="15"/>
        <v>1011</v>
      </c>
      <c r="B1014" s="54"/>
      <c r="C1014" s="52"/>
      <c r="D1014" s="55"/>
    </row>
    <row r="1015" spans="1:4" x14ac:dyDescent="0.25">
      <c r="A1015" s="49">
        <f t="shared" si="15"/>
        <v>1012</v>
      </c>
      <c r="B1015" s="54"/>
      <c r="C1015" s="52"/>
      <c r="D1015" s="55"/>
    </row>
    <row r="1016" spans="1:4" x14ac:dyDescent="0.25">
      <c r="A1016" s="49">
        <f t="shared" si="15"/>
        <v>1013</v>
      </c>
      <c r="B1016" s="54"/>
      <c r="C1016" s="52"/>
      <c r="D1016" s="55"/>
    </row>
    <row r="1017" spans="1:4" x14ac:dyDescent="0.25">
      <c r="A1017" s="49">
        <f t="shared" si="15"/>
        <v>1014</v>
      </c>
      <c r="B1017" s="54"/>
      <c r="C1017" s="52"/>
      <c r="D1017" s="55"/>
    </row>
    <row r="1018" spans="1:4" x14ac:dyDescent="0.25">
      <c r="A1018" s="49">
        <f t="shared" si="15"/>
        <v>1015</v>
      </c>
      <c r="B1018" s="54"/>
      <c r="C1018" s="52"/>
      <c r="D1018" s="55"/>
    </row>
    <row r="1019" spans="1:4" x14ac:dyDescent="0.25">
      <c r="A1019" s="49">
        <f t="shared" si="15"/>
        <v>1016</v>
      </c>
      <c r="B1019" s="54"/>
      <c r="C1019" s="52"/>
      <c r="D1019" s="55"/>
    </row>
    <row r="1020" spans="1:4" x14ac:dyDescent="0.25">
      <c r="A1020" s="49">
        <f t="shared" si="15"/>
        <v>1017</v>
      </c>
      <c r="B1020" s="54"/>
      <c r="C1020" s="52"/>
      <c r="D1020" s="55"/>
    </row>
    <row r="1021" spans="1:4" x14ac:dyDescent="0.25">
      <c r="A1021" s="49">
        <f t="shared" si="15"/>
        <v>1018</v>
      </c>
      <c r="B1021" s="54"/>
      <c r="C1021" s="52"/>
      <c r="D1021" s="55"/>
    </row>
    <row r="1022" spans="1:4" x14ac:dyDescent="0.25">
      <c r="A1022" s="49">
        <f t="shared" si="15"/>
        <v>1019</v>
      </c>
      <c r="B1022" s="54"/>
      <c r="C1022" s="52"/>
      <c r="D1022" s="55"/>
    </row>
    <row r="1023" spans="1:4" x14ac:dyDescent="0.25">
      <c r="A1023" s="49">
        <f t="shared" si="15"/>
        <v>1020</v>
      </c>
      <c r="B1023" s="54"/>
      <c r="C1023" s="52"/>
      <c r="D1023" s="55"/>
    </row>
    <row r="1024" spans="1:4" x14ac:dyDescent="0.25">
      <c r="A1024" s="49">
        <f t="shared" si="15"/>
        <v>1021</v>
      </c>
      <c r="B1024" s="54"/>
      <c r="C1024" s="52"/>
      <c r="D1024" s="55"/>
    </row>
    <row r="1025" spans="1:4" x14ac:dyDescent="0.25">
      <c r="A1025" s="49">
        <f t="shared" si="15"/>
        <v>1022</v>
      </c>
      <c r="B1025" s="54"/>
      <c r="C1025" s="52"/>
      <c r="D1025" s="55"/>
    </row>
    <row r="1026" spans="1:4" x14ac:dyDescent="0.25">
      <c r="A1026" s="49">
        <f t="shared" si="15"/>
        <v>1023</v>
      </c>
      <c r="B1026" s="54"/>
      <c r="C1026" s="52"/>
      <c r="D1026" s="55"/>
    </row>
    <row r="1027" spans="1:4" x14ac:dyDescent="0.25">
      <c r="A1027" s="49">
        <f t="shared" si="15"/>
        <v>1024</v>
      </c>
      <c r="B1027" s="54"/>
      <c r="C1027" s="52"/>
      <c r="D1027" s="55"/>
    </row>
    <row r="1028" spans="1:4" x14ac:dyDescent="0.25">
      <c r="A1028" s="49">
        <f t="shared" ref="A1028:A1049" si="16">ROW()-3</f>
        <v>1025</v>
      </c>
      <c r="B1028" s="54"/>
      <c r="C1028" s="52"/>
      <c r="D1028" s="55"/>
    </row>
    <row r="1029" spans="1:4" x14ac:dyDescent="0.25">
      <c r="A1029" s="49">
        <f t="shared" si="16"/>
        <v>1026</v>
      </c>
      <c r="B1029" s="54"/>
      <c r="C1029" s="52"/>
      <c r="D1029" s="55"/>
    </row>
    <row r="1030" spans="1:4" x14ac:dyDescent="0.25">
      <c r="A1030" s="49">
        <f t="shared" si="16"/>
        <v>1027</v>
      </c>
      <c r="B1030" s="54"/>
      <c r="C1030" s="52"/>
      <c r="D1030" s="55"/>
    </row>
    <row r="1031" spans="1:4" x14ac:dyDescent="0.25">
      <c r="A1031" s="49">
        <f t="shared" si="16"/>
        <v>1028</v>
      </c>
      <c r="B1031" s="54"/>
      <c r="C1031" s="52"/>
      <c r="D1031" s="55"/>
    </row>
    <row r="1032" spans="1:4" x14ac:dyDescent="0.25">
      <c r="A1032" s="49">
        <f t="shared" si="16"/>
        <v>1029</v>
      </c>
      <c r="B1032" s="54"/>
      <c r="C1032" s="52"/>
      <c r="D1032" s="55"/>
    </row>
    <row r="1033" spans="1:4" x14ac:dyDescent="0.25">
      <c r="A1033" s="49">
        <f t="shared" si="16"/>
        <v>1030</v>
      </c>
      <c r="B1033" s="54"/>
      <c r="C1033" s="52"/>
      <c r="D1033" s="55"/>
    </row>
    <row r="1034" spans="1:4" x14ac:dyDescent="0.25">
      <c r="A1034" s="49">
        <f t="shared" si="16"/>
        <v>1031</v>
      </c>
      <c r="B1034" s="54"/>
      <c r="C1034" s="52"/>
      <c r="D1034" s="55"/>
    </row>
    <row r="1035" spans="1:4" x14ac:dyDescent="0.25">
      <c r="A1035" s="49">
        <f t="shared" si="16"/>
        <v>1032</v>
      </c>
      <c r="B1035" s="54"/>
      <c r="C1035" s="52"/>
      <c r="D1035" s="55"/>
    </row>
    <row r="1036" spans="1:4" x14ac:dyDescent="0.25">
      <c r="A1036" s="49">
        <f t="shared" si="16"/>
        <v>1033</v>
      </c>
      <c r="B1036" s="54"/>
      <c r="C1036" s="52"/>
      <c r="D1036" s="55"/>
    </row>
    <row r="1037" spans="1:4" x14ac:dyDescent="0.25">
      <c r="A1037" s="49">
        <f t="shared" si="16"/>
        <v>1034</v>
      </c>
      <c r="B1037" s="54"/>
      <c r="C1037" s="52"/>
      <c r="D1037" s="55"/>
    </row>
    <row r="1038" spans="1:4" x14ac:dyDescent="0.25">
      <c r="A1038" s="49">
        <f t="shared" si="16"/>
        <v>1035</v>
      </c>
      <c r="B1038" s="54"/>
      <c r="C1038" s="52"/>
      <c r="D1038" s="55"/>
    </row>
    <row r="1039" spans="1:4" x14ac:dyDescent="0.25">
      <c r="A1039" s="49">
        <f t="shared" si="16"/>
        <v>1036</v>
      </c>
      <c r="B1039" s="54"/>
      <c r="C1039" s="52"/>
      <c r="D1039" s="55"/>
    </row>
    <row r="1040" spans="1:4" x14ac:dyDescent="0.25">
      <c r="A1040" s="49">
        <f t="shared" si="16"/>
        <v>1037</v>
      </c>
      <c r="B1040" s="54"/>
      <c r="C1040" s="52"/>
      <c r="D1040" s="55"/>
    </row>
    <row r="1041" spans="1:4" x14ac:dyDescent="0.25">
      <c r="A1041" s="49">
        <f t="shared" si="16"/>
        <v>1038</v>
      </c>
      <c r="B1041" s="54"/>
      <c r="C1041" s="52"/>
      <c r="D1041" s="55"/>
    </row>
    <row r="1042" spans="1:4" x14ac:dyDescent="0.25">
      <c r="A1042" s="49">
        <f t="shared" si="16"/>
        <v>1039</v>
      </c>
      <c r="B1042" s="54"/>
      <c r="C1042" s="52"/>
      <c r="D1042" s="55"/>
    </row>
    <row r="1043" spans="1:4" x14ac:dyDescent="0.25">
      <c r="A1043" s="49">
        <f t="shared" si="16"/>
        <v>1040</v>
      </c>
      <c r="B1043" s="54"/>
      <c r="C1043" s="52"/>
      <c r="D1043" s="55"/>
    </row>
    <row r="1044" spans="1:4" x14ac:dyDescent="0.25">
      <c r="A1044" s="49">
        <f t="shared" si="16"/>
        <v>1041</v>
      </c>
      <c r="B1044" s="54"/>
      <c r="C1044" s="52"/>
      <c r="D1044" s="55"/>
    </row>
    <row r="1045" spans="1:4" x14ac:dyDescent="0.25">
      <c r="A1045" s="49">
        <f t="shared" si="16"/>
        <v>1042</v>
      </c>
      <c r="B1045" s="54"/>
      <c r="C1045" s="52"/>
      <c r="D1045" s="55"/>
    </row>
    <row r="1046" spans="1:4" x14ac:dyDescent="0.25">
      <c r="A1046" s="49">
        <f t="shared" si="16"/>
        <v>1043</v>
      </c>
      <c r="B1046" s="54"/>
      <c r="C1046" s="52"/>
      <c r="D1046" s="55"/>
    </row>
    <row r="1047" spans="1:4" x14ac:dyDescent="0.25">
      <c r="A1047" s="49">
        <f t="shared" si="16"/>
        <v>1044</v>
      </c>
      <c r="B1047" s="54"/>
      <c r="C1047" s="52"/>
      <c r="D1047" s="55"/>
    </row>
    <row r="1048" spans="1:4" x14ac:dyDescent="0.25">
      <c r="A1048" s="49">
        <f t="shared" si="16"/>
        <v>1045</v>
      </c>
      <c r="B1048" s="54"/>
      <c r="C1048" s="52"/>
      <c r="D1048" s="55"/>
    </row>
    <row r="1049" spans="1:4" x14ac:dyDescent="0.25">
      <c r="A1049" s="49">
        <f t="shared" si="16"/>
        <v>1046</v>
      </c>
      <c r="B1049" s="54"/>
      <c r="C1049" s="52"/>
      <c r="D1049" s="55"/>
    </row>
  </sheetData>
  <mergeCells count="1">
    <mergeCell ref="A1:D1"/>
  </mergeCells>
  <dataValidations count="1">
    <dataValidation type="whole" allowBlank="1" showInputMessage="1" showErrorMessage="1" sqref="D1051:D1186 D4:D1049" xr:uid="{58D94755-EF1F-4250-A95E-C80D90150013}">
      <formula1>1</formula1>
      <formula2>9.99999999999999E+27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489D17A-46DD-4A83-AD78-1325443AEF59}">
          <x14:formula1>
            <xm:f>'Data Barang'!$B$4:$B$190</xm:f>
          </x14:formula1>
          <xm:sqref>C4:C27 C29:C1049</xm:sqref>
        </x14:dataValidation>
        <x14:dataValidation type="list" allowBlank="1" showInputMessage="1" showErrorMessage="1" xr:uid="{C9FF0164-B788-40D1-95AB-66F1AF06EE96}">
          <x14:formula1>
            <xm:f>'Data Barang'!$B$4:$B$176</xm:f>
          </x14:formula1>
          <xm:sqref>C28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3AB85-7561-4A1B-959E-6EA281B51C34}">
  <sheetPr>
    <tabColor rgb="FFFFFF00"/>
  </sheetPr>
  <dimension ref="A1:E1038"/>
  <sheetViews>
    <sheetView topLeftCell="A69" zoomScale="70" zoomScaleNormal="70" workbookViewId="0">
      <selection activeCell="E84" sqref="E84"/>
    </sheetView>
  </sheetViews>
  <sheetFormatPr defaultRowHeight="15" x14ac:dyDescent="0.25"/>
  <cols>
    <col min="1" max="1" width="6.5703125" customWidth="1"/>
    <col min="2" max="2" width="16.85546875" customWidth="1"/>
    <col min="3" max="3" width="60.42578125" customWidth="1"/>
    <col min="4" max="4" width="11.140625" customWidth="1"/>
    <col min="5" max="5" width="12.140625" customWidth="1"/>
  </cols>
  <sheetData>
    <row r="1" spans="1:5" x14ac:dyDescent="0.25">
      <c r="A1" s="83" t="s">
        <v>170</v>
      </c>
      <c r="B1" s="83"/>
      <c r="C1" s="83"/>
      <c r="D1" s="83"/>
      <c r="E1" s="83"/>
    </row>
    <row r="4" spans="1:5" x14ac:dyDescent="0.25">
      <c r="A4" s="46" t="s">
        <v>166</v>
      </c>
      <c r="B4" s="47" t="s">
        <v>225</v>
      </c>
      <c r="C4" s="47" t="s">
        <v>168</v>
      </c>
      <c r="D4" s="47" t="s">
        <v>169</v>
      </c>
      <c r="E4" s="48" t="s">
        <v>227</v>
      </c>
    </row>
    <row r="5" spans="1:5" x14ac:dyDescent="0.25">
      <c r="A5" s="79">
        <f t="shared" ref="A5:A68" si="0">ROW()-4</f>
        <v>1</v>
      </c>
      <c r="B5" s="74">
        <v>46028</v>
      </c>
      <c r="C5" s="52" t="s">
        <v>28</v>
      </c>
      <c r="D5" s="52">
        <v>2</v>
      </c>
      <c r="E5" s="80" t="s">
        <v>241</v>
      </c>
    </row>
    <row r="6" spans="1:5" x14ac:dyDescent="0.25">
      <c r="A6" s="79">
        <f t="shared" si="0"/>
        <v>2</v>
      </c>
      <c r="B6" s="74">
        <v>46028</v>
      </c>
      <c r="C6" s="52" t="s">
        <v>28</v>
      </c>
      <c r="D6" s="52">
        <v>2</v>
      </c>
      <c r="E6" s="80" t="s">
        <v>242</v>
      </c>
    </row>
    <row r="7" spans="1:5" x14ac:dyDescent="0.25">
      <c r="A7" s="79">
        <f t="shared" si="0"/>
        <v>3</v>
      </c>
      <c r="B7" s="74">
        <v>46030</v>
      </c>
      <c r="C7" s="52" t="s">
        <v>28</v>
      </c>
      <c r="D7" s="52">
        <v>3</v>
      </c>
      <c r="E7" s="80" t="s">
        <v>239</v>
      </c>
    </row>
    <row r="8" spans="1:5" x14ac:dyDescent="0.25">
      <c r="A8" s="79">
        <f t="shared" si="0"/>
        <v>4</v>
      </c>
      <c r="B8" s="74">
        <v>46032</v>
      </c>
      <c r="C8" s="52" t="s">
        <v>28</v>
      </c>
      <c r="D8" s="52">
        <v>2</v>
      </c>
      <c r="E8" s="80" t="s">
        <v>240</v>
      </c>
    </row>
    <row r="9" spans="1:5" x14ac:dyDescent="0.25">
      <c r="A9" s="79">
        <f t="shared" si="0"/>
        <v>5</v>
      </c>
      <c r="B9" s="74">
        <v>46033</v>
      </c>
      <c r="C9" s="52" t="s">
        <v>28</v>
      </c>
      <c r="D9" s="52">
        <v>2</v>
      </c>
      <c r="E9" s="80" t="s">
        <v>232</v>
      </c>
    </row>
    <row r="10" spans="1:5" x14ac:dyDescent="0.25">
      <c r="A10" s="79">
        <f t="shared" si="0"/>
        <v>6</v>
      </c>
      <c r="B10" s="74">
        <v>46033</v>
      </c>
      <c r="C10" s="52" t="s">
        <v>28</v>
      </c>
      <c r="D10" s="52">
        <v>2</v>
      </c>
      <c r="E10" s="80" t="s">
        <v>231</v>
      </c>
    </row>
    <row r="11" spans="1:5" x14ac:dyDescent="0.25">
      <c r="A11" s="79">
        <f t="shared" si="0"/>
        <v>7</v>
      </c>
      <c r="B11" s="74">
        <v>46048</v>
      </c>
      <c r="C11" s="52" t="s">
        <v>28</v>
      </c>
      <c r="D11" s="52">
        <v>2</v>
      </c>
      <c r="E11" s="80" t="s">
        <v>240</v>
      </c>
    </row>
    <row r="12" spans="1:5" x14ac:dyDescent="0.25">
      <c r="A12" s="79">
        <f t="shared" si="0"/>
        <v>8</v>
      </c>
      <c r="B12" s="74">
        <v>46056</v>
      </c>
      <c r="C12" s="52" t="s">
        <v>157</v>
      </c>
      <c r="D12" s="52">
        <v>1</v>
      </c>
      <c r="E12" s="80" t="s">
        <v>234</v>
      </c>
    </row>
    <row r="13" spans="1:5" x14ac:dyDescent="0.25">
      <c r="A13" s="79">
        <f t="shared" si="0"/>
        <v>9</v>
      </c>
      <c r="B13" s="74">
        <v>46057</v>
      </c>
      <c r="C13" s="52" t="s">
        <v>15</v>
      </c>
      <c r="D13" s="52">
        <v>6</v>
      </c>
      <c r="E13" s="80" t="s">
        <v>230</v>
      </c>
    </row>
    <row r="14" spans="1:5" x14ac:dyDescent="0.25">
      <c r="A14" s="79">
        <f t="shared" si="0"/>
        <v>10</v>
      </c>
      <c r="B14" s="74">
        <v>46065</v>
      </c>
      <c r="C14" s="52" t="s">
        <v>39</v>
      </c>
      <c r="D14" s="52">
        <v>2</v>
      </c>
      <c r="E14" s="80" t="s">
        <v>233</v>
      </c>
    </row>
    <row r="15" spans="1:5" x14ac:dyDescent="0.25">
      <c r="A15" s="79">
        <f t="shared" si="0"/>
        <v>11</v>
      </c>
      <c r="B15" s="74">
        <v>46065</v>
      </c>
      <c r="C15" s="52" t="s">
        <v>15</v>
      </c>
      <c r="D15" s="52">
        <v>4</v>
      </c>
      <c r="E15" s="80" t="s">
        <v>233</v>
      </c>
    </row>
    <row r="16" spans="1:5" x14ac:dyDescent="0.25">
      <c r="A16" s="79">
        <f t="shared" si="0"/>
        <v>12</v>
      </c>
      <c r="B16" s="74">
        <v>46071</v>
      </c>
      <c r="C16" s="52" t="s">
        <v>43</v>
      </c>
      <c r="D16" s="52">
        <v>2</v>
      </c>
      <c r="E16" s="80" t="s">
        <v>233</v>
      </c>
    </row>
    <row r="17" spans="1:5" x14ac:dyDescent="0.25">
      <c r="A17" s="79">
        <f t="shared" si="0"/>
        <v>13</v>
      </c>
      <c r="B17" s="74">
        <v>46071</v>
      </c>
      <c r="C17" s="52" t="s">
        <v>93</v>
      </c>
      <c r="D17" s="52">
        <v>2</v>
      </c>
      <c r="E17" s="80" t="s">
        <v>233</v>
      </c>
    </row>
    <row r="18" spans="1:5" x14ac:dyDescent="0.25">
      <c r="A18" s="79">
        <f t="shared" si="0"/>
        <v>14</v>
      </c>
      <c r="B18" s="74">
        <v>46076</v>
      </c>
      <c r="C18" s="52" t="s">
        <v>69</v>
      </c>
      <c r="D18" s="52">
        <v>1</v>
      </c>
      <c r="E18" s="80" t="s">
        <v>229</v>
      </c>
    </row>
    <row r="19" spans="1:5" x14ac:dyDescent="0.25">
      <c r="A19" s="79">
        <f t="shared" si="0"/>
        <v>15</v>
      </c>
      <c r="B19" s="74">
        <v>46076</v>
      </c>
      <c r="C19" s="52" t="s">
        <v>28</v>
      </c>
      <c r="D19" s="52">
        <v>3</v>
      </c>
      <c r="E19" s="80" t="s">
        <v>232</v>
      </c>
    </row>
    <row r="20" spans="1:5" x14ac:dyDescent="0.25">
      <c r="A20" s="79">
        <f t="shared" si="0"/>
        <v>16</v>
      </c>
      <c r="B20" s="74">
        <v>46078</v>
      </c>
      <c r="C20" s="52" t="s">
        <v>10</v>
      </c>
      <c r="D20" s="52">
        <v>1</v>
      </c>
      <c r="E20" s="80" t="s">
        <v>228</v>
      </c>
    </row>
    <row r="21" spans="1:5" x14ac:dyDescent="0.25">
      <c r="A21" s="79">
        <f t="shared" si="0"/>
        <v>17</v>
      </c>
      <c r="B21" s="74">
        <v>46078</v>
      </c>
      <c r="C21" s="52" t="s">
        <v>58</v>
      </c>
      <c r="D21" s="52">
        <v>30</v>
      </c>
      <c r="E21" s="80" t="s">
        <v>235</v>
      </c>
    </row>
    <row r="22" spans="1:5" x14ac:dyDescent="0.25">
      <c r="A22" s="79">
        <f t="shared" si="0"/>
        <v>18</v>
      </c>
      <c r="B22" s="74">
        <v>46080</v>
      </c>
      <c r="C22" s="52" t="s">
        <v>112</v>
      </c>
      <c r="D22" s="52">
        <v>1</v>
      </c>
      <c r="E22" s="80" t="s">
        <v>226</v>
      </c>
    </row>
    <row r="23" spans="1:5" x14ac:dyDescent="0.25">
      <c r="A23" s="79">
        <f t="shared" si="0"/>
        <v>19</v>
      </c>
      <c r="B23" s="74">
        <v>46080</v>
      </c>
      <c r="C23" s="52" t="s">
        <v>28</v>
      </c>
      <c r="D23" s="52">
        <v>5</v>
      </c>
      <c r="E23" s="80" t="s">
        <v>231</v>
      </c>
    </row>
    <row r="24" spans="1:5" x14ac:dyDescent="0.25">
      <c r="A24" s="79">
        <f t="shared" si="0"/>
        <v>20</v>
      </c>
      <c r="B24" s="74">
        <v>46080</v>
      </c>
      <c r="C24" s="52" t="s">
        <v>104</v>
      </c>
      <c r="D24" s="52">
        <v>1</v>
      </c>
      <c r="E24" s="80" t="s">
        <v>236</v>
      </c>
    </row>
    <row r="25" spans="1:5" x14ac:dyDescent="0.25">
      <c r="A25" s="79">
        <f t="shared" si="0"/>
        <v>21</v>
      </c>
      <c r="B25" s="74">
        <v>46080</v>
      </c>
      <c r="C25" s="52" t="s">
        <v>142</v>
      </c>
      <c r="D25" s="52">
        <v>1</v>
      </c>
      <c r="E25" s="80" t="s">
        <v>236</v>
      </c>
    </row>
    <row r="26" spans="1:5" x14ac:dyDescent="0.25">
      <c r="A26" s="79">
        <f t="shared" si="0"/>
        <v>22</v>
      </c>
      <c r="B26" s="74">
        <v>46080</v>
      </c>
      <c r="C26" s="52" t="s">
        <v>27</v>
      </c>
      <c r="D26" s="52">
        <v>1</v>
      </c>
      <c r="E26" s="80" t="s">
        <v>236</v>
      </c>
    </row>
    <row r="27" spans="1:5" x14ac:dyDescent="0.25">
      <c r="A27" s="79">
        <f t="shared" si="0"/>
        <v>23</v>
      </c>
      <c r="B27" s="74">
        <v>46080</v>
      </c>
      <c r="C27" s="52" t="s">
        <v>37</v>
      </c>
      <c r="D27" s="52">
        <v>1</v>
      </c>
      <c r="E27" s="80" t="s">
        <v>236</v>
      </c>
    </row>
    <row r="28" spans="1:5" x14ac:dyDescent="0.25">
      <c r="A28" s="79">
        <f t="shared" si="0"/>
        <v>24</v>
      </c>
      <c r="B28" s="74">
        <v>46080</v>
      </c>
      <c r="C28" s="52" t="s">
        <v>7</v>
      </c>
      <c r="D28" s="52">
        <v>1</v>
      </c>
      <c r="E28" s="80" t="s">
        <v>236</v>
      </c>
    </row>
    <row r="29" spans="1:5" x14ac:dyDescent="0.25">
      <c r="A29" s="79">
        <f t="shared" si="0"/>
        <v>25</v>
      </c>
      <c r="B29" s="74">
        <v>46080</v>
      </c>
      <c r="C29" s="52" t="s">
        <v>50</v>
      </c>
      <c r="D29" s="52">
        <v>1</v>
      </c>
      <c r="E29" s="80" t="s">
        <v>236</v>
      </c>
    </row>
    <row r="30" spans="1:5" x14ac:dyDescent="0.25">
      <c r="A30" s="79">
        <f t="shared" si="0"/>
        <v>26</v>
      </c>
      <c r="B30" s="74">
        <v>46080</v>
      </c>
      <c r="C30" s="52" t="s">
        <v>35</v>
      </c>
      <c r="D30" s="52">
        <v>1</v>
      </c>
      <c r="E30" s="80" t="s">
        <v>236</v>
      </c>
    </row>
    <row r="31" spans="1:5" x14ac:dyDescent="0.25">
      <c r="A31" s="79">
        <f t="shared" si="0"/>
        <v>27</v>
      </c>
      <c r="B31" s="74">
        <v>46084</v>
      </c>
      <c r="C31" s="52" t="s">
        <v>104</v>
      </c>
      <c r="D31" s="52">
        <v>1</v>
      </c>
      <c r="E31" s="80" t="s">
        <v>243</v>
      </c>
    </row>
    <row r="32" spans="1:5" x14ac:dyDescent="0.25">
      <c r="A32" s="79">
        <f t="shared" si="0"/>
        <v>28</v>
      </c>
      <c r="B32" s="74">
        <v>46084</v>
      </c>
      <c r="C32" s="52" t="s">
        <v>57</v>
      </c>
      <c r="D32" s="52">
        <v>1</v>
      </c>
      <c r="E32" s="80" t="s">
        <v>243</v>
      </c>
    </row>
    <row r="33" spans="1:5" x14ac:dyDescent="0.25">
      <c r="A33" s="79">
        <f t="shared" si="0"/>
        <v>29</v>
      </c>
      <c r="B33" s="74">
        <v>46084</v>
      </c>
      <c r="C33" s="52" t="s">
        <v>56</v>
      </c>
      <c r="D33" s="52">
        <v>1</v>
      </c>
      <c r="E33" s="80" t="s">
        <v>243</v>
      </c>
    </row>
    <row r="34" spans="1:5" x14ac:dyDescent="0.25">
      <c r="A34" s="79">
        <f t="shared" si="0"/>
        <v>30</v>
      </c>
      <c r="B34" s="74">
        <v>46084</v>
      </c>
      <c r="C34" s="52" t="s">
        <v>28</v>
      </c>
      <c r="D34" s="52">
        <v>1</v>
      </c>
      <c r="E34" s="80" t="s">
        <v>242</v>
      </c>
    </row>
    <row r="35" spans="1:5" x14ac:dyDescent="0.25">
      <c r="A35" s="79">
        <f t="shared" si="0"/>
        <v>31</v>
      </c>
      <c r="B35" s="74">
        <v>46084</v>
      </c>
      <c r="C35" s="52" t="s">
        <v>28</v>
      </c>
      <c r="D35" s="52">
        <v>1</v>
      </c>
      <c r="E35" s="80" t="s">
        <v>241</v>
      </c>
    </row>
    <row r="36" spans="1:5" x14ac:dyDescent="0.25">
      <c r="A36" s="79">
        <f t="shared" si="0"/>
        <v>32</v>
      </c>
      <c r="B36" s="74">
        <v>46084</v>
      </c>
      <c r="C36" s="52" t="s">
        <v>57</v>
      </c>
      <c r="D36" s="52">
        <v>1</v>
      </c>
      <c r="E36" s="80" t="s">
        <v>245</v>
      </c>
    </row>
    <row r="37" spans="1:5" x14ac:dyDescent="0.25">
      <c r="A37" s="79">
        <f t="shared" si="0"/>
        <v>33</v>
      </c>
      <c r="B37" s="74">
        <v>46084</v>
      </c>
      <c r="C37" s="52" t="s">
        <v>55</v>
      </c>
      <c r="D37" s="52">
        <v>1</v>
      </c>
      <c r="E37" s="80" t="s">
        <v>245</v>
      </c>
    </row>
    <row r="38" spans="1:5" x14ac:dyDescent="0.25">
      <c r="A38" s="79">
        <f t="shared" si="0"/>
        <v>34</v>
      </c>
      <c r="B38" s="74">
        <v>46084</v>
      </c>
      <c r="C38" s="52" t="s">
        <v>54</v>
      </c>
      <c r="D38" s="52">
        <v>1</v>
      </c>
      <c r="E38" s="80" t="s">
        <v>245</v>
      </c>
    </row>
    <row r="39" spans="1:5" x14ac:dyDescent="0.25">
      <c r="A39" s="79">
        <f t="shared" si="0"/>
        <v>35</v>
      </c>
      <c r="B39" s="74">
        <v>46084</v>
      </c>
      <c r="C39" s="52" t="s">
        <v>53</v>
      </c>
      <c r="D39" s="52">
        <v>1</v>
      </c>
      <c r="E39" s="80" t="s">
        <v>245</v>
      </c>
    </row>
    <row r="40" spans="1:5" x14ac:dyDescent="0.25">
      <c r="A40" s="79">
        <f t="shared" si="0"/>
        <v>36</v>
      </c>
      <c r="B40" s="74">
        <v>46084</v>
      </c>
      <c r="C40" s="52" t="s">
        <v>114</v>
      </c>
      <c r="D40" s="52">
        <v>1</v>
      </c>
      <c r="E40" s="80" t="s">
        <v>245</v>
      </c>
    </row>
    <row r="41" spans="1:5" x14ac:dyDescent="0.25">
      <c r="A41" s="79">
        <f t="shared" si="0"/>
        <v>37</v>
      </c>
      <c r="B41" s="74">
        <v>46084</v>
      </c>
      <c r="C41" s="52" t="s">
        <v>51</v>
      </c>
      <c r="D41" s="52">
        <v>1</v>
      </c>
      <c r="E41" s="80" t="s">
        <v>245</v>
      </c>
    </row>
    <row r="42" spans="1:5" x14ac:dyDescent="0.25">
      <c r="A42" s="79">
        <f t="shared" si="0"/>
        <v>38</v>
      </c>
      <c r="B42" s="74">
        <v>46084</v>
      </c>
      <c r="C42" s="52" t="s">
        <v>244</v>
      </c>
      <c r="D42" s="52">
        <v>18</v>
      </c>
      <c r="E42" s="80" t="s">
        <v>246</v>
      </c>
    </row>
    <row r="43" spans="1:5" x14ac:dyDescent="0.25">
      <c r="A43" s="79">
        <f t="shared" si="0"/>
        <v>39</v>
      </c>
      <c r="B43" s="74">
        <v>46085</v>
      </c>
      <c r="C43" s="52" t="s">
        <v>190</v>
      </c>
      <c r="D43" s="52">
        <v>1</v>
      </c>
      <c r="E43" s="80" t="s">
        <v>246</v>
      </c>
    </row>
    <row r="44" spans="1:5" x14ac:dyDescent="0.25">
      <c r="A44" s="79">
        <f t="shared" si="0"/>
        <v>40</v>
      </c>
      <c r="B44" s="74">
        <v>46085</v>
      </c>
      <c r="C44" s="52" t="s">
        <v>155</v>
      </c>
      <c r="D44" s="52">
        <v>1</v>
      </c>
      <c r="E44" s="80" t="s">
        <v>247</v>
      </c>
    </row>
    <row r="45" spans="1:5" x14ac:dyDescent="0.25">
      <c r="A45" s="79">
        <f t="shared" si="0"/>
        <v>41</v>
      </c>
      <c r="B45" s="74">
        <v>46087</v>
      </c>
      <c r="C45" s="52" t="s">
        <v>28</v>
      </c>
      <c r="D45" s="52">
        <v>1</v>
      </c>
      <c r="E45" s="80" t="s">
        <v>242</v>
      </c>
    </row>
    <row r="46" spans="1:5" x14ac:dyDescent="0.25">
      <c r="A46" s="79">
        <f t="shared" si="0"/>
        <v>42</v>
      </c>
      <c r="B46" s="74">
        <v>46087</v>
      </c>
      <c r="C46" s="52" t="s">
        <v>28</v>
      </c>
      <c r="D46" s="52">
        <v>1</v>
      </c>
      <c r="E46" s="80" t="s">
        <v>241</v>
      </c>
    </row>
    <row r="47" spans="1:5" x14ac:dyDescent="0.25">
      <c r="A47" s="79">
        <f t="shared" si="0"/>
        <v>43</v>
      </c>
      <c r="B47" s="74">
        <v>46091</v>
      </c>
      <c r="C47" s="52" t="s">
        <v>105</v>
      </c>
      <c r="D47" s="52">
        <v>1</v>
      </c>
      <c r="E47" s="80" t="s">
        <v>251</v>
      </c>
    </row>
    <row r="48" spans="1:5" x14ac:dyDescent="0.25">
      <c r="A48" s="79">
        <f t="shared" si="0"/>
        <v>44</v>
      </c>
      <c r="B48" s="74">
        <v>46091</v>
      </c>
      <c r="C48" s="52" t="s">
        <v>110</v>
      </c>
      <c r="D48" s="52">
        <v>1</v>
      </c>
      <c r="E48" s="80" t="s">
        <v>252</v>
      </c>
    </row>
    <row r="49" spans="1:5" x14ac:dyDescent="0.25">
      <c r="A49" s="79">
        <f t="shared" si="0"/>
        <v>45</v>
      </c>
      <c r="B49" s="74">
        <v>46091</v>
      </c>
      <c r="C49" s="52" t="s">
        <v>110</v>
      </c>
      <c r="D49" s="52">
        <v>1</v>
      </c>
      <c r="E49" s="80" t="s">
        <v>253</v>
      </c>
    </row>
    <row r="50" spans="1:5" x14ac:dyDescent="0.25">
      <c r="A50" s="79">
        <f t="shared" si="0"/>
        <v>46</v>
      </c>
      <c r="B50" s="74">
        <v>46108</v>
      </c>
      <c r="C50" s="52" t="s">
        <v>15</v>
      </c>
      <c r="D50" s="52">
        <v>2</v>
      </c>
      <c r="E50" s="80" t="s">
        <v>254</v>
      </c>
    </row>
    <row r="51" spans="1:5" x14ac:dyDescent="0.25">
      <c r="A51" s="79">
        <f t="shared" si="0"/>
        <v>47</v>
      </c>
      <c r="B51" s="74">
        <v>46111</v>
      </c>
      <c r="C51" s="52" t="s">
        <v>15</v>
      </c>
      <c r="D51" s="52">
        <v>1</v>
      </c>
      <c r="E51" s="80" t="s">
        <v>255</v>
      </c>
    </row>
    <row r="52" spans="1:5" x14ac:dyDescent="0.25">
      <c r="A52" s="79">
        <f t="shared" si="0"/>
        <v>48</v>
      </c>
      <c r="B52" s="74">
        <v>46119</v>
      </c>
      <c r="C52" s="52" t="s">
        <v>15</v>
      </c>
      <c r="D52" s="52">
        <v>4</v>
      </c>
      <c r="E52" s="80" t="s">
        <v>230</v>
      </c>
    </row>
    <row r="53" spans="1:5" x14ac:dyDescent="0.25">
      <c r="A53" s="79">
        <f t="shared" si="0"/>
        <v>49</v>
      </c>
      <c r="B53" s="74">
        <v>46119</v>
      </c>
      <c r="C53" s="52" t="s">
        <v>16</v>
      </c>
      <c r="D53" s="52">
        <v>6</v>
      </c>
      <c r="E53" s="80" t="s">
        <v>230</v>
      </c>
    </row>
    <row r="54" spans="1:5" x14ac:dyDescent="0.25">
      <c r="A54" s="79">
        <f t="shared" si="0"/>
        <v>50</v>
      </c>
      <c r="B54" s="74">
        <v>46119</v>
      </c>
      <c r="C54" s="52" t="s">
        <v>104</v>
      </c>
      <c r="D54" s="52">
        <v>48</v>
      </c>
      <c r="E54" s="80" t="s">
        <v>256</v>
      </c>
    </row>
    <row r="55" spans="1:5" x14ac:dyDescent="0.25">
      <c r="A55" s="79">
        <f t="shared" si="0"/>
        <v>51</v>
      </c>
      <c r="B55" s="74">
        <v>46119</v>
      </c>
      <c r="C55" s="52" t="s">
        <v>53</v>
      </c>
      <c r="D55" s="52">
        <v>2</v>
      </c>
      <c r="E55" s="80" t="s">
        <v>256</v>
      </c>
    </row>
    <row r="56" spans="1:5" x14ac:dyDescent="0.25">
      <c r="A56" s="79">
        <f t="shared" si="0"/>
        <v>52</v>
      </c>
      <c r="B56" s="74">
        <v>46119</v>
      </c>
      <c r="C56" s="52" t="s">
        <v>57</v>
      </c>
      <c r="D56" s="52">
        <v>12</v>
      </c>
      <c r="E56" s="80" t="s">
        <v>256</v>
      </c>
    </row>
    <row r="57" spans="1:5" x14ac:dyDescent="0.25">
      <c r="A57" s="79">
        <f t="shared" si="0"/>
        <v>53</v>
      </c>
      <c r="B57" s="74">
        <v>46120</v>
      </c>
      <c r="C57" s="52" t="s">
        <v>37</v>
      </c>
      <c r="D57" s="52">
        <v>1</v>
      </c>
      <c r="E57" s="80" t="s">
        <v>257</v>
      </c>
    </row>
    <row r="58" spans="1:5" x14ac:dyDescent="0.25">
      <c r="A58" s="79">
        <f t="shared" si="0"/>
        <v>54</v>
      </c>
      <c r="B58" s="74">
        <v>46120</v>
      </c>
      <c r="C58" s="52"/>
      <c r="D58" s="52"/>
      <c r="E58" s="80" t="s">
        <v>257</v>
      </c>
    </row>
    <row r="59" spans="1:5" x14ac:dyDescent="0.25">
      <c r="A59" s="79">
        <f t="shared" si="0"/>
        <v>55</v>
      </c>
      <c r="B59" s="74">
        <v>46120</v>
      </c>
      <c r="C59" s="52" t="s">
        <v>104</v>
      </c>
      <c r="D59" s="52">
        <v>10</v>
      </c>
      <c r="E59" s="80" t="s">
        <v>257</v>
      </c>
    </row>
    <row r="60" spans="1:5" x14ac:dyDescent="0.25">
      <c r="A60" s="79">
        <f t="shared" si="0"/>
        <v>56</v>
      </c>
      <c r="B60" s="74">
        <v>46120</v>
      </c>
      <c r="C60" s="52" t="s">
        <v>28</v>
      </c>
      <c r="D60" s="52">
        <v>1</v>
      </c>
      <c r="E60" s="80" t="s">
        <v>258</v>
      </c>
    </row>
    <row r="61" spans="1:5" x14ac:dyDescent="0.25">
      <c r="A61" s="79">
        <f t="shared" si="0"/>
        <v>57</v>
      </c>
      <c r="B61" s="74">
        <v>46120</v>
      </c>
      <c r="C61" s="52" t="s">
        <v>28</v>
      </c>
      <c r="D61" s="52">
        <v>1</v>
      </c>
      <c r="E61" s="80" t="s">
        <v>245</v>
      </c>
    </row>
    <row r="62" spans="1:5" x14ac:dyDescent="0.25">
      <c r="A62" s="79">
        <f t="shared" si="0"/>
        <v>58</v>
      </c>
      <c r="B62" s="74">
        <v>46125</v>
      </c>
      <c r="C62" s="52" t="s">
        <v>58</v>
      </c>
      <c r="D62" s="52">
        <v>100</v>
      </c>
      <c r="E62" s="80" t="s">
        <v>232</v>
      </c>
    </row>
    <row r="63" spans="1:5" x14ac:dyDescent="0.25">
      <c r="A63" s="79">
        <f t="shared" si="0"/>
        <v>59</v>
      </c>
      <c r="B63" s="74">
        <v>46125</v>
      </c>
      <c r="C63" s="52" t="s">
        <v>28</v>
      </c>
      <c r="D63" s="52">
        <v>2</v>
      </c>
      <c r="E63" s="80" t="s">
        <v>240</v>
      </c>
    </row>
    <row r="64" spans="1:5" x14ac:dyDescent="0.25">
      <c r="A64" s="79">
        <f t="shared" si="0"/>
        <v>60</v>
      </c>
      <c r="B64" s="74">
        <v>46125</v>
      </c>
      <c r="C64" s="52" t="s">
        <v>54</v>
      </c>
      <c r="D64" s="52">
        <v>2</v>
      </c>
      <c r="E64" s="80" t="s">
        <v>259</v>
      </c>
    </row>
    <row r="65" spans="1:5" x14ac:dyDescent="0.25">
      <c r="A65" s="79">
        <f t="shared" si="0"/>
        <v>61</v>
      </c>
      <c r="B65" s="74">
        <v>46125</v>
      </c>
      <c r="C65" s="52" t="s">
        <v>55</v>
      </c>
      <c r="D65" s="52">
        <v>2</v>
      </c>
      <c r="E65" s="80" t="s">
        <v>259</v>
      </c>
    </row>
    <row r="66" spans="1:5" x14ac:dyDescent="0.25">
      <c r="A66" s="79">
        <f t="shared" si="0"/>
        <v>62</v>
      </c>
      <c r="B66" s="74">
        <v>46125</v>
      </c>
      <c r="C66" s="52" t="s">
        <v>56</v>
      </c>
      <c r="D66" s="52">
        <v>2</v>
      </c>
      <c r="E66" s="80" t="s">
        <v>259</v>
      </c>
    </row>
    <row r="67" spans="1:5" x14ac:dyDescent="0.25">
      <c r="A67" s="79">
        <f t="shared" si="0"/>
        <v>63</v>
      </c>
      <c r="B67" s="74">
        <v>46125</v>
      </c>
      <c r="C67" s="52" t="s">
        <v>50</v>
      </c>
      <c r="D67" s="52">
        <v>3</v>
      </c>
      <c r="E67" s="80" t="s">
        <v>259</v>
      </c>
    </row>
    <row r="68" spans="1:5" x14ac:dyDescent="0.25">
      <c r="A68" s="79">
        <f t="shared" si="0"/>
        <v>64</v>
      </c>
      <c r="B68" s="74">
        <v>46129</v>
      </c>
      <c r="C68" s="52" t="s">
        <v>28</v>
      </c>
      <c r="D68" s="52">
        <v>2</v>
      </c>
      <c r="E68" s="80" t="s">
        <v>260</v>
      </c>
    </row>
    <row r="69" spans="1:5" x14ac:dyDescent="0.25">
      <c r="A69" s="79">
        <f t="shared" ref="A69:A132" si="1">ROW()-4</f>
        <v>65</v>
      </c>
      <c r="B69" s="74">
        <v>46129</v>
      </c>
      <c r="C69" s="52" t="s">
        <v>28</v>
      </c>
      <c r="D69" s="52">
        <v>2</v>
      </c>
      <c r="E69" s="80" t="s">
        <v>242</v>
      </c>
    </row>
    <row r="70" spans="1:5" x14ac:dyDescent="0.25">
      <c r="A70" s="79">
        <f t="shared" si="1"/>
        <v>66</v>
      </c>
      <c r="B70" s="74">
        <v>46132</v>
      </c>
      <c r="C70" s="52" t="s">
        <v>28</v>
      </c>
      <c r="D70" s="52">
        <v>5</v>
      </c>
      <c r="E70" s="80" t="s">
        <v>239</v>
      </c>
    </row>
    <row r="71" spans="1:5" x14ac:dyDescent="0.25">
      <c r="A71" s="79">
        <f t="shared" si="1"/>
        <v>67</v>
      </c>
      <c r="B71" s="74">
        <v>46155</v>
      </c>
      <c r="C71" s="52" t="s">
        <v>28</v>
      </c>
      <c r="D71" s="52">
        <v>5</v>
      </c>
      <c r="E71" s="80" t="s">
        <v>239</v>
      </c>
    </row>
    <row r="72" spans="1:5" x14ac:dyDescent="0.25">
      <c r="A72" s="79">
        <f t="shared" si="1"/>
        <v>68</v>
      </c>
      <c r="B72" s="74">
        <v>46163</v>
      </c>
      <c r="C72" s="52" t="s">
        <v>15</v>
      </c>
      <c r="D72" s="52">
        <v>6</v>
      </c>
      <c r="E72" s="80" t="s">
        <v>231</v>
      </c>
    </row>
    <row r="73" spans="1:5" x14ac:dyDescent="0.25">
      <c r="A73" s="79">
        <f t="shared" si="1"/>
        <v>69</v>
      </c>
      <c r="B73" s="74">
        <v>46163</v>
      </c>
      <c r="C73" s="52" t="s">
        <v>16</v>
      </c>
      <c r="D73" s="52">
        <v>6</v>
      </c>
      <c r="E73" s="80" t="s">
        <v>231</v>
      </c>
    </row>
    <row r="74" spans="1:5" x14ac:dyDescent="0.25">
      <c r="A74" s="79">
        <f t="shared" si="1"/>
        <v>70</v>
      </c>
      <c r="B74" s="74">
        <v>46163</v>
      </c>
      <c r="C74" s="52" t="s">
        <v>15</v>
      </c>
      <c r="D74" s="52">
        <v>2</v>
      </c>
      <c r="E74" s="80" t="s">
        <v>228</v>
      </c>
    </row>
    <row r="75" spans="1:5" x14ac:dyDescent="0.25">
      <c r="A75" s="79">
        <f t="shared" si="1"/>
        <v>71</v>
      </c>
      <c r="B75" s="74">
        <v>46162</v>
      </c>
      <c r="C75" s="52" t="s">
        <v>28</v>
      </c>
      <c r="D75" s="52">
        <v>3</v>
      </c>
      <c r="E75" s="80" t="s">
        <v>242</v>
      </c>
    </row>
    <row r="76" spans="1:5" x14ac:dyDescent="0.25">
      <c r="A76" s="79">
        <f t="shared" si="1"/>
        <v>72</v>
      </c>
      <c r="B76" s="74">
        <v>46162</v>
      </c>
      <c r="C76" s="52" t="s">
        <v>28</v>
      </c>
      <c r="D76" s="52">
        <v>2</v>
      </c>
      <c r="E76" s="80" t="s">
        <v>261</v>
      </c>
    </row>
    <row r="77" spans="1:5" x14ac:dyDescent="0.25">
      <c r="A77" s="79">
        <f t="shared" si="1"/>
        <v>73</v>
      </c>
      <c r="B77" s="74">
        <v>46164</v>
      </c>
      <c r="C77" s="52" t="s">
        <v>203</v>
      </c>
      <c r="D77" s="52">
        <v>3</v>
      </c>
      <c r="E77" s="80" t="s">
        <v>262</v>
      </c>
    </row>
    <row r="78" spans="1:5" x14ac:dyDescent="0.25">
      <c r="A78" s="79">
        <f t="shared" si="1"/>
        <v>74</v>
      </c>
      <c r="B78" s="74">
        <v>46162</v>
      </c>
      <c r="C78" s="52" t="s">
        <v>28</v>
      </c>
      <c r="D78" s="52">
        <v>2</v>
      </c>
      <c r="E78" s="80" t="s">
        <v>240</v>
      </c>
    </row>
    <row r="79" spans="1:5" x14ac:dyDescent="0.25">
      <c r="A79" s="79">
        <f t="shared" si="1"/>
        <v>75</v>
      </c>
      <c r="B79" s="74">
        <v>46164</v>
      </c>
      <c r="C79" s="52" t="s">
        <v>39</v>
      </c>
      <c r="D79" s="52">
        <v>3</v>
      </c>
      <c r="E79" s="80" t="s">
        <v>263</v>
      </c>
    </row>
    <row r="80" spans="1:5" x14ac:dyDescent="0.25">
      <c r="A80" s="79">
        <f t="shared" si="1"/>
        <v>76</v>
      </c>
      <c r="B80" s="74">
        <v>46164</v>
      </c>
      <c r="C80" s="52" t="s">
        <v>104</v>
      </c>
      <c r="D80" s="52">
        <v>3</v>
      </c>
      <c r="E80" s="80" t="s">
        <v>264</v>
      </c>
    </row>
    <row r="81" spans="1:5" x14ac:dyDescent="0.25">
      <c r="A81" s="79">
        <f t="shared" si="1"/>
        <v>77</v>
      </c>
      <c r="B81" s="74">
        <v>46164</v>
      </c>
      <c r="C81" s="52" t="s">
        <v>57</v>
      </c>
      <c r="D81" s="52">
        <v>2</v>
      </c>
      <c r="E81" s="80" t="s">
        <v>264</v>
      </c>
    </row>
    <row r="82" spans="1:5" x14ac:dyDescent="0.25">
      <c r="A82" s="79">
        <f t="shared" si="1"/>
        <v>78</v>
      </c>
      <c r="B82" s="74">
        <v>46164</v>
      </c>
      <c r="C82" s="52" t="s">
        <v>50</v>
      </c>
      <c r="D82" s="52">
        <v>1</v>
      </c>
      <c r="E82" s="80" t="s">
        <v>264</v>
      </c>
    </row>
    <row r="83" spans="1:5" x14ac:dyDescent="0.25">
      <c r="A83" s="79">
        <f t="shared" si="1"/>
        <v>79</v>
      </c>
      <c r="B83" s="74">
        <v>46146</v>
      </c>
      <c r="C83" s="52" t="s">
        <v>265</v>
      </c>
      <c r="D83" s="52">
        <v>8</v>
      </c>
      <c r="E83" s="80" t="s">
        <v>242</v>
      </c>
    </row>
    <row r="84" spans="1:5" x14ac:dyDescent="0.25">
      <c r="A84" s="79">
        <f t="shared" si="1"/>
        <v>80</v>
      </c>
      <c r="B84" s="74">
        <v>46289</v>
      </c>
      <c r="C84" s="52" t="s">
        <v>7</v>
      </c>
      <c r="D84" s="52">
        <v>10</v>
      </c>
      <c r="E84" s="80"/>
    </row>
    <row r="85" spans="1:5" x14ac:dyDescent="0.25">
      <c r="A85" s="79">
        <f t="shared" si="1"/>
        <v>81</v>
      </c>
      <c r="B85" s="74"/>
      <c r="C85" s="52"/>
      <c r="D85" s="52"/>
      <c r="E85" s="80"/>
    </row>
    <row r="86" spans="1:5" x14ac:dyDescent="0.25">
      <c r="A86" s="79">
        <f t="shared" si="1"/>
        <v>82</v>
      </c>
      <c r="B86" s="74"/>
      <c r="C86" s="52"/>
      <c r="D86" s="52"/>
      <c r="E86" s="80"/>
    </row>
    <row r="87" spans="1:5" x14ac:dyDescent="0.25">
      <c r="A87" s="79">
        <f t="shared" si="1"/>
        <v>83</v>
      </c>
      <c r="B87" s="74"/>
      <c r="C87" s="52"/>
      <c r="D87" s="52"/>
      <c r="E87" s="80"/>
    </row>
    <row r="88" spans="1:5" x14ac:dyDescent="0.25">
      <c r="A88" s="79">
        <f t="shared" si="1"/>
        <v>84</v>
      </c>
      <c r="B88" s="74"/>
      <c r="C88" s="52"/>
      <c r="D88" s="52"/>
      <c r="E88" s="80"/>
    </row>
    <row r="89" spans="1:5" x14ac:dyDescent="0.25">
      <c r="A89" s="79">
        <f t="shared" si="1"/>
        <v>85</v>
      </c>
      <c r="B89" s="74"/>
      <c r="C89" s="52"/>
      <c r="D89" s="52"/>
      <c r="E89" s="80"/>
    </row>
    <row r="90" spans="1:5" x14ac:dyDescent="0.25">
      <c r="A90" s="79">
        <f t="shared" si="1"/>
        <v>86</v>
      </c>
      <c r="B90" s="74"/>
      <c r="C90" s="52"/>
      <c r="D90" s="52"/>
      <c r="E90" s="80"/>
    </row>
    <row r="91" spans="1:5" x14ac:dyDescent="0.25">
      <c r="A91" s="79">
        <f t="shared" si="1"/>
        <v>87</v>
      </c>
      <c r="B91" s="74"/>
      <c r="C91" s="52"/>
      <c r="D91" s="52"/>
      <c r="E91" s="80"/>
    </row>
    <row r="92" spans="1:5" x14ac:dyDescent="0.25">
      <c r="A92" s="79">
        <f t="shared" si="1"/>
        <v>88</v>
      </c>
      <c r="B92" s="74"/>
      <c r="C92" s="52"/>
      <c r="D92" s="52"/>
      <c r="E92" s="80"/>
    </row>
    <row r="93" spans="1:5" x14ac:dyDescent="0.25">
      <c r="A93" s="79">
        <f t="shared" si="1"/>
        <v>89</v>
      </c>
      <c r="B93" s="74"/>
      <c r="C93" s="52"/>
      <c r="D93" s="52"/>
      <c r="E93" s="80"/>
    </row>
    <row r="94" spans="1:5" x14ac:dyDescent="0.25">
      <c r="A94" s="79">
        <f t="shared" si="1"/>
        <v>90</v>
      </c>
      <c r="B94" s="74"/>
      <c r="C94" s="52"/>
      <c r="D94" s="52"/>
      <c r="E94" s="80"/>
    </row>
    <row r="95" spans="1:5" x14ac:dyDescent="0.25">
      <c r="A95" s="79">
        <f t="shared" si="1"/>
        <v>91</v>
      </c>
      <c r="B95" s="74"/>
      <c r="C95" s="52"/>
      <c r="D95" s="52"/>
      <c r="E95" s="80"/>
    </row>
    <row r="96" spans="1:5" x14ac:dyDescent="0.25">
      <c r="A96" s="79">
        <f t="shared" si="1"/>
        <v>92</v>
      </c>
      <c r="B96" s="74"/>
      <c r="C96" s="52"/>
      <c r="D96" s="52"/>
      <c r="E96" s="80"/>
    </row>
    <row r="97" spans="1:5" x14ac:dyDescent="0.25">
      <c r="A97" s="79">
        <f t="shared" si="1"/>
        <v>93</v>
      </c>
      <c r="B97" s="74"/>
      <c r="C97" s="52"/>
      <c r="D97" s="52"/>
      <c r="E97" s="80"/>
    </row>
    <row r="98" spans="1:5" x14ac:dyDescent="0.25">
      <c r="A98" s="79">
        <f t="shared" si="1"/>
        <v>94</v>
      </c>
      <c r="B98" s="74"/>
      <c r="C98" s="52"/>
      <c r="D98" s="52"/>
      <c r="E98" s="80"/>
    </row>
    <row r="99" spans="1:5" x14ac:dyDescent="0.25">
      <c r="A99" s="79">
        <f t="shared" si="1"/>
        <v>95</v>
      </c>
      <c r="B99" s="74"/>
      <c r="C99" s="52"/>
      <c r="D99" s="52"/>
      <c r="E99" s="80"/>
    </row>
    <row r="100" spans="1:5" x14ac:dyDescent="0.25">
      <c r="A100" s="79">
        <f t="shared" si="1"/>
        <v>96</v>
      </c>
      <c r="B100" s="74"/>
      <c r="C100" s="52"/>
      <c r="D100" s="52"/>
      <c r="E100" s="80"/>
    </row>
    <row r="101" spans="1:5" x14ac:dyDescent="0.25">
      <c r="A101" s="79">
        <f t="shared" si="1"/>
        <v>97</v>
      </c>
      <c r="B101" s="74"/>
      <c r="C101" s="52"/>
      <c r="D101" s="52"/>
      <c r="E101" s="80"/>
    </row>
    <row r="102" spans="1:5" x14ac:dyDescent="0.25">
      <c r="A102" s="79">
        <f t="shared" si="1"/>
        <v>98</v>
      </c>
      <c r="B102" s="74"/>
      <c r="C102" s="52"/>
      <c r="D102" s="52"/>
      <c r="E102" s="80"/>
    </row>
    <row r="103" spans="1:5" x14ac:dyDescent="0.25">
      <c r="A103" s="79">
        <f t="shared" si="1"/>
        <v>99</v>
      </c>
      <c r="B103" s="74"/>
      <c r="C103" s="52"/>
      <c r="D103" s="52"/>
      <c r="E103" s="80"/>
    </row>
    <row r="104" spans="1:5" x14ac:dyDescent="0.25">
      <c r="A104" s="79">
        <f t="shared" si="1"/>
        <v>100</v>
      </c>
      <c r="B104" s="74"/>
      <c r="C104" s="52"/>
      <c r="D104" s="52"/>
      <c r="E104" s="80"/>
    </row>
    <row r="105" spans="1:5" x14ac:dyDescent="0.25">
      <c r="A105" s="79">
        <f t="shared" si="1"/>
        <v>101</v>
      </c>
      <c r="B105" s="74"/>
      <c r="C105" s="52"/>
      <c r="D105" s="52"/>
      <c r="E105" s="80"/>
    </row>
    <row r="106" spans="1:5" x14ac:dyDescent="0.25">
      <c r="A106" s="79">
        <f t="shared" si="1"/>
        <v>102</v>
      </c>
      <c r="B106" s="74"/>
      <c r="C106" s="52"/>
      <c r="D106" s="52"/>
      <c r="E106" s="80"/>
    </row>
    <row r="107" spans="1:5" x14ac:dyDescent="0.25">
      <c r="A107" s="79">
        <f t="shared" si="1"/>
        <v>103</v>
      </c>
      <c r="B107" s="74"/>
      <c r="C107" s="52"/>
      <c r="D107" s="52"/>
      <c r="E107" s="80"/>
    </row>
    <row r="108" spans="1:5" x14ac:dyDescent="0.25">
      <c r="A108" s="79">
        <f t="shared" si="1"/>
        <v>104</v>
      </c>
      <c r="B108" s="74"/>
      <c r="C108" s="52"/>
      <c r="D108" s="52"/>
      <c r="E108" s="80"/>
    </row>
    <row r="109" spans="1:5" x14ac:dyDescent="0.25">
      <c r="A109" s="79">
        <f t="shared" si="1"/>
        <v>105</v>
      </c>
      <c r="B109" s="74"/>
      <c r="C109" s="52"/>
      <c r="D109" s="52"/>
      <c r="E109" s="80"/>
    </row>
    <row r="110" spans="1:5" x14ac:dyDescent="0.25">
      <c r="A110" s="79">
        <f t="shared" si="1"/>
        <v>106</v>
      </c>
      <c r="B110" s="74"/>
      <c r="C110" s="52"/>
      <c r="D110" s="52"/>
      <c r="E110" s="80"/>
    </row>
    <row r="111" spans="1:5" x14ac:dyDescent="0.25">
      <c r="A111" s="79">
        <f t="shared" si="1"/>
        <v>107</v>
      </c>
      <c r="B111" s="74"/>
      <c r="C111" s="52"/>
      <c r="D111" s="52"/>
      <c r="E111" s="80"/>
    </row>
    <row r="112" spans="1:5" x14ac:dyDescent="0.25">
      <c r="A112" s="79">
        <f t="shared" si="1"/>
        <v>108</v>
      </c>
      <c r="B112" s="74"/>
      <c r="C112" s="52"/>
      <c r="D112" s="52"/>
      <c r="E112" s="80"/>
    </row>
    <row r="113" spans="1:5" x14ac:dyDescent="0.25">
      <c r="A113" s="79">
        <f t="shared" si="1"/>
        <v>109</v>
      </c>
      <c r="B113" s="74"/>
      <c r="C113" s="52"/>
      <c r="D113" s="52"/>
      <c r="E113" s="80"/>
    </row>
    <row r="114" spans="1:5" x14ac:dyDescent="0.25">
      <c r="A114" s="79">
        <f t="shared" si="1"/>
        <v>110</v>
      </c>
      <c r="B114" s="74"/>
      <c r="C114" s="52"/>
      <c r="D114" s="52"/>
      <c r="E114" s="80"/>
    </row>
    <row r="115" spans="1:5" x14ac:dyDescent="0.25">
      <c r="A115" s="79">
        <f t="shared" si="1"/>
        <v>111</v>
      </c>
      <c r="B115" s="74"/>
      <c r="C115" s="52"/>
      <c r="D115" s="52"/>
      <c r="E115" s="80"/>
    </row>
    <row r="116" spans="1:5" x14ac:dyDescent="0.25">
      <c r="A116" s="79">
        <f t="shared" si="1"/>
        <v>112</v>
      </c>
      <c r="B116" s="74"/>
      <c r="C116" s="52"/>
      <c r="D116" s="52"/>
      <c r="E116" s="80"/>
    </row>
    <row r="117" spans="1:5" x14ac:dyDescent="0.25">
      <c r="A117" s="79">
        <f t="shared" si="1"/>
        <v>113</v>
      </c>
      <c r="B117" s="74"/>
      <c r="C117" s="52"/>
      <c r="D117" s="52"/>
      <c r="E117" s="80"/>
    </row>
    <row r="118" spans="1:5" x14ac:dyDescent="0.25">
      <c r="A118" s="79">
        <f t="shared" si="1"/>
        <v>114</v>
      </c>
      <c r="B118" s="74"/>
      <c r="C118" s="52"/>
      <c r="D118" s="52"/>
      <c r="E118" s="80"/>
    </row>
    <row r="119" spans="1:5" x14ac:dyDescent="0.25">
      <c r="A119" s="79">
        <f t="shared" si="1"/>
        <v>115</v>
      </c>
      <c r="B119" s="74"/>
      <c r="C119" s="52"/>
      <c r="D119" s="52"/>
      <c r="E119" s="80"/>
    </row>
    <row r="120" spans="1:5" x14ac:dyDescent="0.25">
      <c r="A120" s="79">
        <f t="shared" si="1"/>
        <v>116</v>
      </c>
      <c r="B120" s="74"/>
      <c r="C120" s="52"/>
      <c r="D120" s="52"/>
      <c r="E120" s="80"/>
    </row>
    <row r="121" spans="1:5" x14ac:dyDescent="0.25">
      <c r="A121" s="79">
        <f t="shared" si="1"/>
        <v>117</v>
      </c>
      <c r="B121" s="74"/>
      <c r="C121" s="52"/>
      <c r="D121" s="52"/>
      <c r="E121" s="80"/>
    </row>
    <row r="122" spans="1:5" x14ac:dyDescent="0.25">
      <c r="A122" s="79">
        <f t="shared" si="1"/>
        <v>118</v>
      </c>
      <c r="B122" s="74"/>
      <c r="C122" s="52"/>
      <c r="D122" s="52"/>
      <c r="E122" s="80"/>
    </row>
    <row r="123" spans="1:5" x14ac:dyDescent="0.25">
      <c r="A123" s="79">
        <f t="shared" si="1"/>
        <v>119</v>
      </c>
      <c r="B123" s="74"/>
      <c r="C123" s="52"/>
      <c r="D123" s="52"/>
      <c r="E123" s="80"/>
    </row>
    <row r="124" spans="1:5" x14ac:dyDescent="0.25">
      <c r="A124" s="79">
        <f t="shared" si="1"/>
        <v>120</v>
      </c>
      <c r="B124" s="74"/>
      <c r="C124" s="52"/>
      <c r="D124" s="52"/>
      <c r="E124" s="80"/>
    </row>
    <row r="125" spans="1:5" x14ac:dyDescent="0.25">
      <c r="A125" s="79">
        <f t="shared" si="1"/>
        <v>121</v>
      </c>
      <c r="B125" s="74"/>
      <c r="C125" s="52"/>
      <c r="D125" s="52"/>
      <c r="E125" s="80"/>
    </row>
    <row r="126" spans="1:5" x14ac:dyDescent="0.25">
      <c r="A126" s="79">
        <f t="shared" si="1"/>
        <v>122</v>
      </c>
      <c r="B126" s="74"/>
      <c r="C126" s="52"/>
      <c r="D126" s="52"/>
      <c r="E126" s="80"/>
    </row>
    <row r="127" spans="1:5" x14ac:dyDescent="0.25">
      <c r="A127" s="79">
        <f t="shared" si="1"/>
        <v>123</v>
      </c>
      <c r="B127" s="74"/>
      <c r="C127" s="52"/>
      <c r="D127" s="52"/>
      <c r="E127" s="80"/>
    </row>
    <row r="128" spans="1:5" x14ac:dyDescent="0.25">
      <c r="A128" s="79">
        <f t="shared" si="1"/>
        <v>124</v>
      </c>
      <c r="B128" s="74"/>
      <c r="C128" s="52"/>
      <c r="D128" s="52"/>
      <c r="E128" s="80"/>
    </row>
    <row r="129" spans="1:5" x14ac:dyDescent="0.25">
      <c r="A129" s="79">
        <f t="shared" si="1"/>
        <v>125</v>
      </c>
      <c r="B129" s="74"/>
      <c r="C129" s="52"/>
      <c r="D129" s="52"/>
      <c r="E129" s="80"/>
    </row>
    <row r="130" spans="1:5" x14ac:dyDescent="0.25">
      <c r="A130" s="79">
        <f t="shared" si="1"/>
        <v>126</v>
      </c>
      <c r="B130" s="74"/>
      <c r="C130" s="52"/>
      <c r="D130" s="52"/>
      <c r="E130" s="80"/>
    </row>
    <row r="131" spans="1:5" x14ac:dyDescent="0.25">
      <c r="A131" s="79">
        <f t="shared" si="1"/>
        <v>127</v>
      </c>
      <c r="B131" s="74"/>
      <c r="C131" s="52"/>
      <c r="D131" s="52"/>
      <c r="E131" s="80"/>
    </row>
    <row r="132" spans="1:5" x14ac:dyDescent="0.25">
      <c r="A132" s="79">
        <f t="shared" si="1"/>
        <v>128</v>
      </c>
      <c r="B132" s="74"/>
      <c r="C132" s="52"/>
      <c r="D132" s="52"/>
      <c r="E132" s="80"/>
    </row>
    <row r="133" spans="1:5" x14ac:dyDescent="0.25">
      <c r="A133" s="79">
        <f t="shared" ref="A133:A196" si="2">ROW()-4</f>
        <v>129</v>
      </c>
      <c r="B133" s="74"/>
      <c r="C133" s="52"/>
      <c r="D133" s="52"/>
      <c r="E133" s="80"/>
    </row>
    <row r="134" spans="1:5" x14ac:dyDescent="0.25">
      <c r="A134" s="79">
        <f t="shared" si="2"/>
        <v>130</v>
      </c>
      <c r="B134" s="74"/>
      <c r="C134" s="52"/>
      <c r="D134" s="52"/>
      <c r="E134" s="80"/>
    </row>
    <row r="135" spans="1:5" x14ac:dyDescent="0.25">
      <c r="A135" s="79">
        <f t="shared" si="2"/>
        <v>131</v>
      </c>
      <c r="B135" s="74"/>
      <c r="C135" s="52"/>
      <c r="D135" s="52"/>
      <c r="E135" s="80"/>
    </row>
    <row r="136" spans="1:5" x14ac:dyDescent="0.25">
      <c r="A136" s="79">
        <f t="shared" si="2"/>
        <v>132</v>
      </c>
      <c r="B136" s="74"/>
      <c r="C136" s="52"/>
      <c r="D136" s="52"/>
      <c r="E136" s="80"/>
    </row>
    <row r="137" spans="1:5" x14ac:dyDescent="0.25">
      <c r="A137" s="79">
        <f t="shared" si="2"/>
        <v>133</v>
      </c>
      <c r="B137" s="74"/>
      <c r="C137" s="52"/>
      <c r="D137" s="52"/>
      <c r="E137" s="80"/>
    </row>
    <row r="138" spans="1:5" x14ac:dyDescent="0.25">
      <c r="A138" s="79">
        <f t="shared" si="2"/>
        <v>134</v>
      </c>
      <c r="B138" s="74"/>
      <c r="C138" s="52"/>
      <c r="D138" s="52"/>
      <c r="E138" s="80"/>
    </row>
    <row r="139" spans="1:5" x14ac:dyDescent="0.25">
      <c r="A139" s="79">
        <f t="shared" si="2"/>
        <v>135</v>
      </c>
      <c r="B139" s="74"/>
      <c r="C139" s="52"/>
      <c r="D139" s="52"/>
      <c r="E139" s="80"/>
    </row>
    <row r="140" spans="1:5" x14ac:dyDescent="0.25">
      <c r="A140" s="79">
        <f t="shared" si="2"/>
        <v>136</v>
      </c>
      <c r="B140" s="74"/>
      <c r="C140" s="52"/>
      <c r="D140" s="52"/>
      <c r="E140" s="80"/>
    </row>
    <row r="141" spans="1:5" x14ac:dyDescent="0.25">
      <c r="A141" s="79">
        <f t="shared" si="2"/>
        <v>137</v>
      </c>
      <c r="B141" s="74"/>
      <c r="C141" s="52"/>
      <c r="D141" s="52"/>
      <c r="E141" s="80"/>
    </row>
    <row r="142" spans="1:5" x14ac:dyDescent="0.25">
      <c r="A142" s="79">
        <f t="shared" si="2"/>
        <v>138</v>
      </c>
      <c r="B142" s="74"/>
      <c r="C142" s="52"/>
      <c r="D142" s="52"/>
      <c r="E142" s="80"/>
    </row>
    <row r="143" spans="1:5" x14ac:dyDescent="0.25">
      <c r="A143" s="79">
        <f t="shared" si="2"/>
        <v>139</v>
      </c>
      <c r="B143" s="74"/>
      <c r="C143" s="52"/>
      <c r="D143" s="52"/>
      <c r="E143" s="80"/>
    </row>
    <row r="144" spans="1:5" x14ac:dyDescent="0.25">
      <c r="A144" s="79">
        <f t="shared" si="2"/>
        <v>140</v>
      </c>
      <c r="B144" s="74"/>
      <c r="C144" s="52"/>
      <c r="D144" s="52"/>
      <c r="E144" s="80"/>
    </row>
    <row r="145" spans="1:5" x14ac:dyDescent="0.25">
      <c r="A145" s="79">
        <f t="shared" si="2"/>
        <v>141</v>
      </c>
      <c r="B145" s="74"/>
      <c r="C145" s="52"/>
      <c r="D145" s="52"/>
      <c r="E145" s="80"/>
    </row>
    <row r="146" spans="1:5" x14ac:dyDescent="0.25">
      <c r="A146" s="79">
        <f t="shared" si="2"/>
        <v>142</v>
      </c>
      <c r="B146" s="74"/>
      <c r="C146" s="52"/>
      <c r="D146" s="52"/>
      <c r="E146" s="80"/>
    </row>
    <row r="147" spans="1:5" x14ac:dyDescent="0.25">
      <c r="A147" s="79">
        <f t="shared" si="2"/>
        <v>143</v>
      </c>
      <c r="B147" s="74"/>
      <c r="C147" s="52"/>
      <c r="D147" s="52"/>
      <c r="E147" s="80"/>
    </row>
    <row r="148" spans="1:5" x14ac:dyDescent="0.25">
      <c r="A148" s="79">
        <f t="shared" si="2"/>
        <v>144</v>
      </c>
      <c r="B148" s="74"/>
      <c r="C148" s="52"/>
      <c r="D148" s="52"/>
      <c r="E148" s="80"/>
    </row>
    <row r="149" spans="1:5" x14ac:dyDescent="0.25">
      <c r="A149" s="79">
        <f t="shared" si="2"/>
        <v>145</v>
      </c>
      <c r="B149" s="74"/>
      <c r="C149" s="52"/>
      <c r="D149" s="52"/>
      <c r="E149" s="80"/>
    </row>
    <row r="150" spans="1:5" x14ac:dyDescent="0.25">
      <c r="A150" s="79">
        <f t="shared" si="2"/>
        <v>146</v>
      </c>
      <c r="B150" s="74"/>
      <c r="C150" s="52"/>
      <c r="D150" s="52"/>
      <c r="E150" s="80"/>
    </row>
    <row r="151" spans="1:5" x14ac:dyDescent="0.25">
      <c r="A151" s="79">
        <f t="shared" si="2"/>
        <v>147</v>
      </c>
      <c r="B151" s="74"/>
      <c r="C151" s="52"/>
      <c r="D151" s="52"/>
      <c r="E151" s="80"/>
    </row>
    <row r="152" spans="1:5" x14ac:dyDescent="0.25">
      <c r="A152" s="79">
        <f t="shared" si="2"/>
        <v>148</v>
      </c>
      <c r="B152" s="74"/>
      <c r="C152" s="52"/>
      <c r="D152" s="52"/>
      <c r="E152" s="80"/>
    </row>
    <row r="153" spans="1:5" x14ac:dyDescent="0.25">
      <c r="A153" s="79">
        <f t="shared" si="2"/>
        <v>149</v>
      </c>
      <c r="B153" s="74"/>
      <c r="C153" s="52"/>
      <c r="D153" s="52"/>
      <c r="E153" s="80"/>
    </row>
    <row r="154" spans="1:5" x14ac:dyDescent="0.25">
      <c r="A154" s="79">
        <f t="shared" si="2"/>
        <v>150</v>
      </c>
      <c r="B154" s="74"/>
      <c r="C154" s="52"/>
      <c r="D154" s="52"/>
      <c r="E154" s="80"/>
    </row>
    <row r="155" spans="1:5" x14ac:dyDescent="0.25">
      <c r="A155" s="79">
        <f t="shared" si="2"/>
        <v>151</v>
      </c>
      <c r="B155" s="74"/>
      <c r="C155" s="52"/>
      <c r="D155" s="52"/>
      <c r="E155" s="80"/>
    </row>
    <row r="156" spans="1:5" x14ac:dyDescent="0.25">
      <c r="A156" s="79">
        <f t="shared" si="2"/>
        <v>152</v>
      </c>
      <c r="B156" s="74"/>
      <c r="C156" s="52"/>
      <c r="D156" s="52"/>
      <c r="E156" s="80"/>
    </row>
    <row r="157" spans="1:5" x14ac:dyDescent="0.25">
      <c r="A157" s="79">
        <f t="shared" si="2"/>
        <v>153</v>
      </c>
      <c r="B157" s="74"/>
      <c r="C157" s="52"/>
      <c r="D157" s="52"/>
      <c r="E157" s="80"/>
    </row>
    <row r="158" spans="1:5" x14ac:dyDescent="0.25">
      <c r="A158" s="79">
        <f t="shared" si="2"/>
        <v>154</v>
      </c>
      <c r="B158" s="74"/>
      <c r="C158" s="52"/>
      <c r="D158" s="52"/>
      <c r="E158" s="80"/>
    </row>
    <row r="159" spans="1:5" x14ac:dyDescent="0.25">
      <c r="A159" s="79">
        <f t="shared" si="2"/>
        <v>155</v>
      </c>
      <c r="B159" s="74"/>
      <c r="C159" s="52"/>
      <c r="D159" s="52"/>
      <c r="E159" s="80"/>
    </row>
    <row r="160" spans="1:5" x14ac:dyDescent="0.25">
      <c r="A160" s="79">
        <f t="shared" si="2"/>
        <v>156</v>
      </c>
      <c r="B160" s="74"/>
      <c r="C160" s="52"/>
      <c r="D160" s="52"/>
      <c r="E160" s="80"/>
    </row>
    <row r="161" spans="1:5" x14ac:dyDescent="0.25">
      <c r="A161" s="79">
        <f t="shared" si="2"/>
        <v>157</v>
      </c>
      <c r="B161" s="74"/>
      <c r="C161" s="52"/>
      <c r="D161" s="52"/>
      <c r="E161" s="80"/>
    </row>
    <row r="162" spans="1:5" x14ac:dyDescent="0.25">
      <c r="A162" s="79">
        <f t="shared" si="2"/>
        <v>158</v>
      </c>
      <c r="B162" s="74"/>
      <c r="C162" s="52"/>
      <c r="D162" s="52"/>
      <c r="E162" s="80"/>
    </row>
    <row r="163" spans="1:5" x14ac:dyDescent="0.25">
      <c r="A163" s="79">
        <f t="shared" si="2"/>
        <v>159</v>
      </c>
      <c r="B163" s="74"/>
      <c r="C163" s="52"/>
      <c r="D163" s="52"/>
      <c r="E163" s="80"/>
    </row>
    <row r="164" spans="1:5" x14ac:dyDescent="0.25">
      <c r="A164" s="79">
        <f t="shared" si="2"/>
        <v>160</v>
      </c>
      <c r="B164" s="74"/>
      <c r="C164" s="52"/>
      <c r="D164" s="52"/>
      <c r="E164" s="80"/>
    </row>
    <row r="165" spans="1:5" x14ac:dyDescent="0.25">
      <c r="A165" s="79">
        <f t="shared" si="2"/>
        <v>161</v>
      </c>
      <c r="B165" s="74"/>
      <c r="C165" s="52"/>
      <c r="D165" s="52"/>
      <c r="E165" s="80"/>
    </row>
    <row r="166" spans="1:5" x14ac:dyDescent="0.25">
      <c r="A166" s="79">
        <f t="shared" si="2"/>
        <v>162</v>
      </c>
      <c r="B166" s="74"/>
      <c r="C166" s="52"/>
      <c r="D166" s="52"/>
      <c r="E166" s="80"/>
    </row>
    <row r="167" spans="1:5" x14ac:dyDescent="0.25">
      <c r="A167" s="79">
        <f t="shared" si="2"/>
        <v>163</v>
      </c>
      <c r="B167" s="74"/>
      <c r="C167" s="52"/>
      <c r="D167" s="52"/>
      <c r="E167" s="80"/>
    </row>
    <row r="168" spans="1:5" x14ac:dyDescent="0.25">
      <c r="A168" s="79">
        <f t="shared" si="2"/>
        <v>164</v>
      </c>
      <c r="B168" s="74"/>
      <c r="C168" s="52"/>
      <c r="D168" s="52"/>
      <c r="E168" s="80"/>
    </row>
    <row r="169" spans="1:5" x14ac:dyDescent="0.25">
      <c r="A169" s="79">
        <f t="shared" si="2"/>
        <v>165</v>
      </c>
      <c r="B169" s="74"/>
      <c r="C169" s="52"/>
      <c r="D169" s="52"/>
      <c r="E169" s="80"/>
    </row>
    <row r="170" spans="1:5" x14ac:dyDescent="0.25">
      <c r="A170" s="79">
        <f t="shared" si="2"/>
        <v>166</v>
      </c>
      <c r="B170" s="74"/>
      <c r="C170" s="52"/>
      <c r="D170" s="52"/>
      <c r="E170" s="80"/>
    </row>
    <row r="171" spans="1:5" x14ac:dyDescent="0.25">
      <c r="A171" s="79">
        <f t="shared" si="2"/>
        <v>167</v>
      </c>
      <c r="B171" s="74"/>
      <c r="C171" s="52"/>
      <c r="D171" s="52"/>
      <c r="E171" s="80"/>
    </row>
    <row r="172" spans="1:5" x14ac:dyDescent="0.25">
      <c r="A172" s="79">
        <f t="shared" si="2"/>
        <v>168</v>
      </c>
      <c r="B172" s="74"/>
      <c r="C172" s="52"/>
      <c r="D172" s="52"/>
      <c r="E172" s="80"/>
    </row>
    <row r="173" spans="1:5" x14ac:dyDescent="0.25">
      <c r="A173" s="79">
        <f t="shared" si="2"/>
        <v>169</v>
      </c>
      <c r="B173" s="74"/>
      <c r="C173" s="52"/>
      <c r="D173" s="52"/>
      <c r="E173" s="80"/>
    </row>
    <row r="174" spans="1:5" x14ac:dyDescent="0.25">
      <c r="A174" s="79">
        <f t="shared" si="2"/>
        <v>170</v>
      </c>
      <c r="B174" s="74"/>
      <c r="C174" s="52"/>
      <c r="D174" s="52"/>
      <c r="E174" s="80"/>
    </row>
    <row r="175" spans="1:5" x14ac:dyDescent="0.25">
      <c r="A175" s="79">
        <f t="shared" si="2"/>
        <v>171</v>
      </c>
      <c r="B175" s="74"/>
      <c r="C175" s="52"/>
      <c r="D175" s="52"/>
      <c r="E175" s="80"/>
    </row>
    <row r="176" spans="1:5" x14ac:dyDescent="0.25">
      <c r="A176" s="79">
        <f t="shared" si="2"/>
        <v>172</v>
      </c>
      <c r="B176" s="74"/>
      <c r="C176" s="52"/>
      <c r="D176" s="52"/>
      <c r="E176" s="80"/>
    </row>
    <row r="177" spans="1:5" x14ac:dyDescent="0.25">
      <c r="A177" s="79">
        <f t="shared" si="2"/>
        <v>173</v>
      </c>
      <c r="B177" s="74"/>
      <c r="C177" s="52"/>
      <c r="D177" s="52"/>
      <c r="E177" s="80"/>
    </row>
    <row r="178" spans="1:5" x14ac:dyDescent="0.25">
      <c r="A178" s="79">
        <f t="shared" si="2"/>
        <v>174</v>
      </c>
      <c r="B178" s="74"/>
      <c r="C178" s="52"/>
      <c r="D178" s="52"/>
      <c r="E178" s="80"/>
    </row>
    <row r="179" spans="1:5" x14ac:dyDescent="0.25">
      <c r="A179" s="79">
        <f t="shared" si="2"/>
        <v>175</v>
      </c>
      <c r="B179" s="74"/>
      <c r="C179" s="52"/>
      <c r="D179" s="52"/>
      <c r="E179" s="80"/>
    </row>
    <row r="180" spans="1:5" x14ac:dyDescent="0.25">
      <c r="A180" s="79">
        <f t="shared" si="2"/>
        <v>176</v>
      </c>
      <c r="B180" s="74"/>
      <c r="C180" s="52"/>
      <c r="D180" s="52"/>
      <c r="E180" s="80"/>
    </row>
    <row r="181" spans="1:5" x14ac:dyDescent="0.25">
      <c r="A181" s="79">
        <f t="shared" si="2"/>
        <v>177</v>
      </c>
      <c r="B181" s="74"/>
      <c r="C181" s="52"/>
      <c r="D181" s="52"/>
      <c r="E181" s="80"/>
    </row>
    <row r="182" spans="1:5" x14ac:dyDescent="0.25">
      <c r="A182" s="79">
        <f t="shared" si="2"/>
        <v>178</v>
      </c>
      <c r="B182" s="74"/>
      <c r="C182" s="52"/>
      <c r="D182" s="52"/>
      <c r="E182" s="80"/>
    </row>
    <row r="183" spans="1:5" x14ac:dyDescent="0.25">
      <c r="A183" s="79">
        <f t="shared" si="2"/>
        <v>179</v>
      </c>
      <c r="B183" s="74"/>
      <c r="C183" s="52"/>
      <c r="D183" s="52"/>
      <c r="E183" s="80"/>
    </row>
    <row r="184" spans="1:5" x14ac:dyDescent="0.25">
      <c r="A184" s="79">
        <f t="shared" si="2"/>
        <v>180</v>
      </c>
      <c r="B184" s="74"/>
      <c r="C184" s="52"/>
      <c r="D184" s="52"/>
      <c r="E184" s="80"/>
    </row>
    <row r="185" spans="1:5" x14ac:dyDescent="0.25">
      <c r="A185" s="79">
        <f t="shared" si="2"/>
        <v>181</v>
      </c>
      <c r="B185" s="74"/>
      <c r="C185" s="52"/>
      <c r="D185" s="52"/>
      <c r="E185" s="80"/>
    </row>
    <row r="186" spans="1:5" x14ac:dyDescent="0.25">
      <c r="A186" s="79">
        <f t="shared" si="2"/>
        <v>182</v>
      </c>
      <c r="B186" s="74"/>
      <c r="C186" s="52"/>
      <c r="D186" s="52"/>
      <c r="E186" s="80"/>
    </row>
    <row r="187" spans="1:5" x14ac:dyDescent="0.25">
      <c r="A187" s="79">
        <f t="shared" si="2"/>
        <v>183</v>
      </c>
      <c r="B187" s="74"/>
      <c r="C187" s="52"/>
      <c r="D187" s="52"/>
      <c r="E187" s="80"/>
    </row>
    <row r="188" spans="1:5" x14ac:dyDescent="0.25">
      <c r="A188" s="79">
        <f t="shared" si="2"/>
        <v>184</v>
      </c>
      <c r="B188" s="74"/>
      <c r="C188" s="52"/>
      <c r="D188" s="52"/>
      <c r="E188" s="80"/>
    </row>
    <row r="189" spans="1:5" x14ac:dyDescent="0.25">
      <c r="A189" s="79">
        <f t="shared" si="2"/>
        <v>185</v>
      </c>
      <c r="B189" s="74"/>
      <c r="C189" s="52"/>
      <c r="D189" s="52"/>
      <c r="E189" s="80"/>
    </row>
    <row r="190" spans="1:5" x14ac:dyDescent="0.25">
      <c r="A190" s="79">
        <f t="shared" si="2"/>
        <v>186</v>
      </c>
      <c r="B190" s="74"/>
      <c r="C190" s="52"/>
      <c r="D190" s="52"/>
      <c r="E190" s="80"/>
    </row>
    <row r="191" spans="1:5" x14ac:dyDescent="0.25">
      <c r="A191" s="79">
        <f t="shared" si="2"/>
        <v>187</v>
      </c>
      <c r="B191" s="74"/>
      <c r="C191" s="52"/>
      <c r="D191" s="52"/>
      <c r="E191" s="80"/>
    </row>
    <row r="192" spans="1:5" x14ac:dyDescent="0.25">
      <c r="A192" s="79">
        <f t="shared" si="2"/>
        <v>188</v>
      </c>
      <c r="B192" s="74"/>
      <c r="C192" s="52"/>
      <c r="D192" s="52"/>
      <c r="E192" s="80"/>
    </row>
    <row r="193" spans="1:5" x14ac:dyDescent="0.25">
      <c r="A193" s="79">
        <f t="shared" si="2"/>
        <v>189</v>
      </c>
      <c r="B193" s="74"/>
      <c r="C193" s="52"/>
      <c r="D193" s="52"/>
      <c r="E193" s="80"/>
    </row>
    <row r="194" spans="1:5" x14ac:dyDescent="0.25">
      <c r="A194" s="79">
        <f t="shared" si="2"/>
        <v>190</v>
      </c>
      <c r="B194" s="74"/>
      <c r="C194" s="52"/>
      <c r="D194" s="52"/>
      <c r="E194" s="80"/>
    </row>
    <row r="195" spans="1:5" x14ac:dyDescent="0.25">
      <c r="A195" s="79">
        <f t="shared" si="2"/>
        <v>191</v>
      </c>
      <c r="B195" s="74"/>
      <c r="C195" s="52"/>
      <c r="D195" s="52"/>
      <c r="E195" s="80"/>
    </row>
    <row r="196" spans="1:5" x14ac:dyDescent="0.25">
      <c r="A196" s="79">
        <f t="shared" si="2"/>
        <v>192</v>
      </c>
      <c r="B196" s="74"/>
      <c r="C196" s="52"/>
      <c r="D196" s="52"/>
      <c r="E196" s="80"/>
    </row>
    <row r="197" spans="1:5" x14ac:dyDescent="0.25">
      <c r="A197" s="79">
        <f t="shared" ref="A197:A260" si="3">ROW()-4</f>
        <v>193</v>
      </c>
      <c r="B197" s="74"/>
      <c r="C197" s="52"/>
      <c r="D197" s="52"/>
      <c r="E197" s="80"/>
    </row>
    <row r="198" spans="1:5" x14ac:dyDescent="0.25">
      <c r="A198" s="79">
        <f t="shared" si="3"/>
        <v>194</v>
      </c>
      <c r="B198" s="74"/>
      <c r="C198" s="52"/>
      <c r="D198" s="52"/>
      <c r="E198" s="80"/>
    </row>
    <row r="199" spans="1:5" x14ac:dyDescent="0.25">
      <c r="A199" s="79">
        <f t="shared" si="3"/>
        <v>195</v>
      </c>
      <c r="B199" s="74"/>
      <c r="C199" s="52"/>
      <c r="D199" s="52"/>
      <c r="E199" s="80"/>
    </row>
    <row r="200" spans="1:5" x14ac:dyDescent="0.25">
      <c r="A200" s="79">
        <f t="shared" si="3"/>
        <v>196</v>
      </c>
      <c r="B200" s="74"/>
      <c r="C200" s="52"/>
      <c r="D200" s="52"/>
      <c r="E200" s="80"/>
    </row>
    <row r="201" spans="1:5" x14ac:dyDescent="0.25">
      <c r="A201" s="79">
        <f t="shared" si="3"/>
        <v>197</v>
      </c>
      <c r="B201" s="74"/>
      <c r="C201" s="52"/>
      <c r="D201" s="52"/>
      <c r="E201" s="80"/>
    </row>
    <row r="202" spans="1:5" x14ac:dyDescent="0.25">
      <c r="A202" s="79">
        <f t="shared" si="3"/>
        <v>198</v>
      </c>
      <c r="B202" s="74"/>
      <c r="C202" s="52"/>
      <c r="D202" s="52"/>
      <c r="E202" s="55"/>
    </row>
    <row r="203" spans="1:5" x14ac:dyDescent="0.25">
      <c r="A203" s="79">
        <f t="shared" si="3"/>
        <v>199</v>
      </c>
      <c r="B203" s="74"/>
      <c r="C203" s="52"/>
      <c r="D203" s="52"/>
      <c r="E203" s="55"/>
    </row>
    <row r="204" spans="1:5" x14ac:dyDescent="0.25">
      <c r="A204" s="79">
        <f t="shared" si="3"/>
        <v>200</v>
      </c>
      <c r="B204" s="74"/>
      <c r="C204" s="52"/>
      <c r="D204" s="52"/>
      <c r="E204" s="55"/>
    </row>
    <row r="205" spans="1:5" x14ac:dyDescent="0.25">
      <c r="A205" s="79">
        <f t="shared" si="3"/>
        <v>201</v>
      </c>
      <c r="B205" s="74"/>
      <c r="C205" s="52"/>
      <c r="D205" s="52"/>
      <c r="E205" s="55"/>
    </row>
    <row r="206" spans="1:5" x14ac:dyDescent="0.25">
      <c r="A206" s="79">
        <f t="shared" si="3"/>
        <v>202</v>
      </c>
      <c r="B206" s="74"/>
      <c r="C206" s="52"/>
      <c r="D206" s="52"/>
      <c r="E206" s="55"/>
    </row>
    <row r="207" spans="1:5" x14ac:dyDescent="0.25">
      <c r="A207" s="79">
        <f t="shared" si="3"/>
        <v>203</v>
      </c>
      <c r="B207" s="74"/>
      <c r="C207" s="52"/>
      <c r="D207" s="52"/>
      <c r="E207" s="55"/>
    </row>
    <row r="208" spans="1:5" x14ac:dyDescent="0.25">
      <c r="A208" s="79">
        <f t="shared" si="3"/>
        <v>204</v>
      </c>
      <c r="B208" s="74"/>
      <c r="C208" s="52"/>
      <c r="D208" s="52"/>
      <c r="E208" s="55"/>
    </row>
    <row r="209" spans="1:5" x14ac:dyDescent="0.25">
      <c r="A209" s="79">
        <f t="shared" si="3"/>
        <v>205</v>
      </c>
      <c r="B209" s="74"/>
      <c r="C209" s="52"/>
      <c r="D209" s="52"/>
      <c r="E209" s="55"/>
    </row>
    <row r="210" spans="1:5" x14ac:dyDescent="0.25">
      <c r="A210" s="79">
        <f t="shared" si="3"/>
        <v>206</v>
      </c>
      <c r="B210" s="74"/>
      <c r="C210" s="52"/>
      <c r="D210" s="52"/>
      <c r="E210" s="55"/>
    </row>
    <row r="211" spans="1:5" x14ac:dyDescent="0.25">
      <c r="A211" s="79">
        <f t="shared" si="3"/>
        <v>207</v>
      </c>
      <c r="B211" s="74"/>
      <c r="C211" s="52"/>
      <c r="D211" s="52"/>
      <c r="E211" s="55"/>
    </row>
    <row r="212" spans="1:5" x14ac:dyDescent="0.25">
      <c r="A212" s="79">
        <f t="shared" si="3"/>
        <v>208</v>
      </c>
      <c r="B212" s="74"/>
      <c r="C212" s="52"/>
      <c r="D212" s="52"/>
      <c r="E212" s="55"/>
    </row>
    <row r="213" spans="1:5" x14ac:dyDescent="0.25">
      <c r="A213" s="79">
        <f t="shared" si="3"/>
        <v>209</v>
      </c>
      <c r="B213" s="74"/>
      <c r="C213" s="52"/>
      <c r="D213" s="52"/>
      <c r="E213" s="55"/>
    </row>
    <row r="214" spans="1:5" x14ac:dyDescent="0.25">
      <c r="A214" s="79">
        <f t="shared" si="3"/>
        <v>210</v>
      </c>
      <c r="B214" s="74"/>
      <c r="C214" s="52"/>
      <c r="D214" s="52"/>
      <c r="E214" s="55"/>
    </row>
    <row r="215" spans="1:5" x14ac:dyDescent="0.25">
      <c r="A215" s="79">
        <f t="shared" si="3"/>
        <v>211</v>
      </c>
      <c r="B215" s="74"/>
      <c r="C215" s="52"/>
      <c r="D215" s="52"/>
      <c r="E215" s="55"/>
    </row>
    <row r="216" spans="1:5" x14ac:dyDescent="0.25">
      <c r="A216" s="79">
        <f t="shared" si="3"/>
        <v>212</v>
      </c>
      <c r="B216" s="74"/>
      <c r="C216" s="52"/>
      <c r="D216" s="52"/>
      <c r="E216" s="55"/>
    </row>
    <row r="217" spans="1:5" x14ac:dyDescent="0.25">
      <c r="A217" s="79">
        <f t="shared" si="3"/>
        <v>213</v>
      </c>
      <c r="B217" s="74"/>
      <c r="C217" s="52"/>
      <c r="D217" s="52"/>
      <c r="E217" s="55"/>
    </row>
    <row r="218" spans="1:5" x14ac:dyDescent="0.25">
      <c r="A218" s="79">
        <f t="shared" si="3"/>
        <v>214</v>
      </c>
      <c r="B218" s="74"/>
      <c r="C218" s="52"/>
      <c r="D218" s="52"/>
      <c r="E218" s="55"/>
    </row>
    <row r="219" spans="1:5" x14ac:dyDescent="0.25">
      <c r="A219" s="79">
        <f t="shared" si="3"/>
        <v>215</v>
      </c>
      <c r="B219" s="74"/>
      <c r="C219" s="52"/>
      <c r="D219" s="52"/>
      <c r="E219" s="55"/>
    </row>
    <row r="220" spans="1:5" x14ac:dyDescent="0.25">
      <c r="A220" s="79">
        <f t="shared" si="3"/>
        <v>216</v>
      </c>
      <c r="B220" s="74"/>
      <c r="C220" s="52"/>
      <c r="D220" s="52"/>
      <c r="E220" s="55"/>
    </row>
    <row r="221" spans="1:5" x14ac:dyDescent="0.25">
      <c r="A221" s="79">
        <f t="shared" si="3"/>
        <v>217</v>
      </c>
      <c r="B221" s="74"/>
      <c r="C221" s="52"/>
      <c r="D221" s="52"/>
      <c r="E221" s="55"/>
    </row>
    <row r="222" spans="1:5" x14ac:dyDescent="0.25">
      <c r="A222" s="79">
        <f t="shared" si="3"/>
        <v>218</v>
      </c>
      <c r="B222" s="74"/>
      <c r="C222" s="52"/>
      <c r="D222" s="52"/>
      <c r="E222" s="55"/>
    </row>
    <row r="223" spans="1:5" x14ac:dyDescent="0.25">
      <c r="A223" s="79">
        <f t="shared" si="3"/>
        <v>219</v>
      </c>
      <c r="B223" s="74"/>
      <c r="C223" s="52"/>
      <c r="D223" s="52"/>
      <c r="E223" s="55"/>
    </row>
    <row r="224" spans="1:5" x14ac:dyDescent="0.25">
      <c r="A224" s="79">
        <f t="shared" si="3"/>
        <v>220</v>
      </c>
      <c r="B224" s="74"/>
      <c r="C224" s="52"/>
      <c r="D224" s="52"/>
      <c r="E224" s="55"/>
    </row>
    <row r="225" spans="1:5" x14ac:dyDescent="0.25">
      <c r="A225" s="79">
        <f t="shared" si="3"/>
        <v>221</v>
      </c>
      <c r="B225" s="74"/>
      <c r="C225" s="52"/>
      <c r="D225" s="52"/>
      <c r="E225" s="55"/>
    </row>
    <row r="226" spans="1:5" x14ac:dyDescent="0.25">
      <c r="A226" s="79">
        <f t="shared" si="3"/>
        <v>222</v>
      </c>
      <c r="B226" s="74"/>
      <c r="C226" s="52"/>
      <c r="D226" s="52"/>
      <c r="E226" s="55"/>
    </row>
    <row r="227" spans="1:5" x14ac:dyDescent="0.25">
      <c r="A227" s="79">
        <f t="shared" si="3"/>
        <v>223</v>
      </c>
      <c r="B227" s="74"/>
      <c r="C227" s="52"/>
      <c r="D227" s="52"/>
      <c r="E227" s="55"/>
    </row>
    <row r="228" spans="1:5" x14ac:dyDescent="0.25">
      <c r="A228" s="79">
        <f t="shared" si="3"/>
        <v>224</v>
      </c>
      <c r="B228" s="74"/>
      <c r="C228" s="52"/>
      <c r="D228" s="52"/>
      <c r="E228" s="55"/>
    </row>
    <row r="229" spans="1:5" x14ac:dyDescent="0.25">
      <c r="A229" s="79">
        <f t="shared" si="3"/>
        <v>225</v>
      </c>
      <c r="B229" s="74"/>
      <c r="C229" s="52"/>
      <c r="D229" s="52"/>
      <c r="E229" s="55"/>
    </row>
    <row r="230" spans="1:5" x14ac:dyDescent="0.25">
      <c r="A230" s="79">
        <f t="shared" si="3"/>
        <v>226</v>
      </c>
      <c r="B230" s="74"/>
      <c r="C230" s="52"/>
      <c r="D230" s="52"/>
      <c r="E230" s="55"/>
    </row>
    <row r="231" spans="1:5" x14ac:dyDescent="0.25">
      <c r="A231" s="79">
        <f t="shared" si="3"/>
        <v>227</v>
      </c>
      <c r="B231" s="74"/>
      <c r="C231" s="52"/>
      <c r="D231" s="52"/>
      <c r="E231" s="55"/>
    </row>
    <row r="232" spans="1:5" x14ac:dyDescent="0.25">
      <c r="A232" s="79">
        <f t="shared" si="3"/>
        <v>228</v>
      </c>
      <c r="B232" s="74"/>
      <c r="C232" s="52"/>
      <c r="D232" s="52"/>
      <c r="E232" s="55"/>
    </row>
    <row r="233" spans="1:5" x14ac:dyDescent="0.25">
      <c r="A233" s="79">
        <f t="shared" si="3"/>
        <v>229</v>
      </c>
      <c r="B233" s="74"/>
      <c r="C233" s="52"/>
      <c r="D233" s="52"/>
      <c r="E233" s="55"/>
    </row>
    <row r="234" spans="1:5" x14ac:dyDescent="0.25">
      <c r="A234" s="79">
        <f t="shared" si="3"/>
        <v>230</v>
      </c>
      <c r="B234" s="74"/>
      <c r="C234" s="52"/>
      <c r="D234" s="52"/>
      <c r="E234" s="55"/>
    </row>
    <row r="235" spans="1:5" x14ac:dyDescent="0.25">
      <c r="A235" s="79">
        <f t="shared" si="3"/>
        <v>231</v>
      </c>
      <c r="B235" s="74"/>
      <c r="C235" s="52"/>
      <c r="D235" s="52"/>
      <c r="E235" s="55"/>
    </row>
    <row r="236" spans="1:5" x14ac:dyDescent="0.25">
      <c r="A236" s="79">
        <f t="shared" si="3"/>
        <v>232</v>
      </c>
      <c r="B236" s="74"/>
      <c r="C236" s="52"/>
      <c r="D236" s="52"/>
      <c r="E236" s="55"/>
    </row>
    <row r="237" spans="1:5" x14ac:dyDescent="0.25">
      <c r="A237" s="79">
        <f t="shared" si="3"/>
        <v>233</v>
      </c>
      <c r="B237" s="74"/>
      <c r="C237" s="52"/>
      <c r="D237" s="52"/>
      <c r="E237" s="55"/>
    </row>
    <row r="238" spans="1:5" x14ac:dyDescent="0.25">
      <c r="A238" s="79">
        <f t="shared" si="3"/>
        <v>234</v>
      </c>
      <c r="B238" s="74"/>
      <c r="C238" s="52"/>
      <c r="D238" s="52"/>
      <c r="E238" s="55"/>
    </row>
    <row r="239" spans="1:5" x14ac:dyDescent="0.25">
      <c r="A239" s="79">
        <f t="shared" si="3"/>
        <v>235</v>
      </c>
      <c r="B239" s="74"/>
      <c r="C239" s="52"/>
      <c r="D239" s="52"/>
      <c r="E239" s="55"/>
    </row>
    <row r="240" spans="1:5" x14ac:dyDescent="0.25">
      <c r="A240" s="79">
        <f t="shared" si="3"/>
        <v>236</v>
      </c>
      <c r="B240" s="74"/>
      <c r="C240" s="52"/>
      <c r="D240" s="52"/>
      <c r="E240" s="55"/>
    </row>
    <row r="241" spans="1:5" x14ac:dyDescent="0.25">
      <c r="A241" s="79">
        <f t="shared" si="3"/>
        <v>237</v>
      </c>
      <c r="B241" s="74"/>
      <c r="C241" s="52"/>
      <c r="D241" s="52"/>
      <c r="E241" s="55"/>
    </row>
    <row r="242" spans="1:5" x14ac:dyDescent="0.25">
      <c r="A242" s="79">
        <f t="shared" si="3"/>
        <v>238</v>
      </c>
      <c r="B242" s="74"/>
      <c r="C242" s="52"/>
      <c r="D242" s="52"/>
      <c r="E242" s="55"/>
    </row>
    <row r="243" spans="1:5" x14ac:dyDescent="0.25">
      <c r="A243" s="79">
        <f t="shared" si="3"/>
        <v>239</v>
      </c>
      <c r="B243" s="74"/>
      <c r="C243" s="52"/>
      <c r="D243" s="52"/>
      <c r="E243" s="55"/>
    </row>
    <row r="244" spans="1:5" x14ac:dyDescent="0.25">
      <c r="A244" s="79">
        <f t="shared" si="3"/>
        <v>240</v>
      </c>
      <c r="B244" s="74"/>
      <c r="C244" s="52"/>
      <c r="D244" s="52"/>
      <c r="E244" s="55"/>
    </row>
    <row r="245" spans="1:5" x14ac:dyDescent="0.25">
      <c r="A245" s="79">
        <f t="shared" si="3"/>
        <v>241</v>
      </c>
      <c r="B245" s="74"/>
      <c r="C245" s="52"/>
      <c r="D245" s="52"/>
      <c r="E245" s="55"/>
    </row>
    <row r="246" spans="1:5" x14ac:dyDescent="0.25">
      <c r="A246" s="79">
        <f t="shared" si="3"/>
        <v>242</v>
      </c>
      <c r="B246" s="74"/>
      <c r="C246" s="52"/>
      <c r="D246" s="52"/>
      <c r="E246" s="55"/>
    </row>
    <row r="247" spans="1:5" x14ac:dyDescent="0.25">
      <c r="A247" s="79">
        <f t="shared" si="3"/>
        <v>243</v>
      </c>
      <c r="B247" s="74"/>
      <c r="C247" s="52"/>
      <c r="D247" s="52"/>
      <c r="E247" s="55"/>
    </row>
    <row r="248" spans="1:5" x14ac:dyDescent="0.25">
      <c r="A248" s="79">
        <f t="shared" si="3"/>
        <v>244</v>
      </c>
      <c r="B248" s="74"/>
      <c r="C248" s="52"/>
      <c r="D248" s="52"/>
      <c r="E248" s="55"/>
    </row>
    <row r="249" spans="1:5" x14ac:dyDescent="0.25">
      <c r="A249" s="79">
        <f t="shared" si="3"/>
        <v>245</v>
      </c>
      <c r="B249" s="74"/>
      <c r="C249" s="52"/>
      <c r="D249" s="52"/>
      <c r="E249" s="55"/>
    </row>
    <row r="250" spans="1:5" x14ac:dyDescent="0.25">
      <c r="A250" s="79">
        <f t="shared" si="3"/>
        <v>246</v>
      </c>
      <c r="B250" s="74"/>
      <c r="C250" s="52"/>
      <c r="D250" s="52"/>
      <c r="E250" s="55"/>
    </row>
    <row r="251" spans="1:5" x14ac:dyDescent="0.25">
      <c r="A251" s="79">
        <f t="shared" si="3"/>
        <v>247</v>
      </c>
      <c r="B251" s="74"/>
      <c r="C251" s="52"/>
      <c r="D251" s="52"/>
      <c r="E251" s="55"/>
    </row>
    <row r="252" spans="1:5" x14ac:dyDescent="0.25">
      <c r="A252" s="79">
        <f t="shared" si="3"/>
        <v>248</v>
      </c>
      <c r="B252" s="74"/>
      <c r="C252" s="52"/>
      <c r="D252" s="52"/>
      <c r="E252" s="55"/>
    </row>
    <row r="253" spans="1:5" x14ac:dyDescent="0.25">
      <c r="A253" s="79">
        <f t="shared" si="3"/>
        <v>249</v>
      </c>
      <c r="B253" s="74"/>
      <c r="C253" s="52"/>
      <c r="D253" s="52"/>
      <c r="E253" s="55"/>
    </row>
    <row r="254" spans="1:5" x14ac:dyDescent="0.25">
      <c r="A254" s="79">
        <f t="shared" si="3"/>
        <v>250</v>
      </c>
      <c r="B254" s="74"/>
      <c r="C254" s="52"/>
      <c r="D254" s="52"/>
      <c r="E254" s="55"/>
    </row>
    <row r="255" spans="1:5" x14ac:dyDescent="0.25">
      <c r="A255" s="79">
        <f t="shared" si="3"/>
        <v>251</v>
      </c>
      <c r="B255" s="74"/>
      <c r="C255" s="52"/>
      <c r="D255" s="52"/>
      <c r="E255" s="55"/>
    </row>
    <row r="256" spans="1:5" x14ac:dyDescent="0.25">
      <c r="A256" s="79">
        <f t="shared" si="3"/>
        <v>252</v>
      </c>
      <c r="B256" s="74"/>
      <c r="C256" s="52"/>
      <c r="D256" s="52"/>
      <c r="E256" s="55"/>
    </row>
    <row r="257" spans="1:5" x14ac:dyDescent="0.25">
      <c r="A257" s="79">
        <f t="shared" si="3"/>
        <v>253</v>
      </c>
      <c r="B257" s="74"/>
      <c r="C257" s="52"/>
      <c r="D257" s="52"/>
      <c r="E257" s="55"/>
    </row>
    <row r="258" spans="1:5" x14ac:dyDescent="0.25">
      <c r="A258" s="79">
        <f t="shared" si="3"/>
        <v>254</v>
      </c>
      <c r="B258" s="74"/>
      <c r="C258" s="52"/>
      <c r="D258" s="52"/>
      <c r="E258" s="55"/>
    </row>
    <row r="259" spans="1:5" x14ac:dyDescent="0.25">
      <c r="A259" s="79">
        <f t="shared" si="3"/>
        <v>255</v>
      </c>
      <c r="B259" s="74"/>
      <c r="C259" s="52"/>
      <c r="D259" s="52"/>
      <c r="E259" s="55"/>
    </row>
    <row r="260" spans="1:5" x14ac:dyDescent="0.25">
      <c r="A260" s="79">
        <f t="shared" si="3"/>
        <v>256</v>
      </c>
      <c r="B260" s="74"/>
      <c r="C260" s="52"/>
      <c r="D260" s="52"/>
      <c r="E260" s="55"/>
    </row>
    <row r="261" spans="1:5" x14ac:dyDescent="0.25">
      <c r="A261" s="79">
        <f t="shared" ref="A261:A324" si="4">ROW()-4</f>
        <v>257</v>
      </c>
      <c r="B261" s="74"/>
      <c r="C261" s="52"/>
      <c r="D261" s="52"/>
      <c r="E261" s="55"/>
    </row>
    <row r="262" spans="1:5" x14ac:dyDescent="0.25">
      <c r="A262" s="79">
        <f t="shared" si="4"/>
        <v>258</v>
      </c>
      <c r="B262" s="74"/>
      <c r="C262" s="52"/>
      <c r="D262" s="52"/>
      <c r="E262" s="55"/>
    </row>
    <row r="263" spans="1:5" x14ac:dyDescent="0.25">
      <c r="A263" s="79">
        <f t="shared" si="4"/>
        <v>259</v>
      </c>
      <c r="B263" s="74"/>
      <c r="C263" s="52"/>
      <c r="D263" s="52"/>
      <c r="E263" s="55"/>
    </row>
    <row r="264" spans="1:5" x14ac:dyDescent="0.25">
      <c r="A264" s="79">
        <f t="shared" si="4"/>
        <v>260</v>
      </c>
      <c r="B264" s="74"/>
      <c r="C264" s="52"/>
      <c r="D264" s="52"/>
      <c r="E264" s="55"/>
    </row>
    <row r="265" spans="1:5" x14ac:dyDescent="0.25">
      <c r="A265" s="79">
        <f t="shared" si="4"/>
        <v>261</v>
      </c>
      <c r="B265" s="74"/>
      <c r="C265" s="52"/>
      <c r="D265" s="52"/>
      <c r="E265" s="55"/>
    </row>
    <row r="266" spans="1:5" x14ac:dyDescent="0.25">
      <c r="A266" s="79">
        <f t="shared" si="4"/>
        <v>262</v>
      </c>
      <c r="B266" s="74"/>
      <c r="C266" s="52"/>
      <c r="D266" s="52"/>
      <c r="E266" s="55"/>
    </row>
    <row r="267" spans="1:5" x14ac:dyDescent="0.25">
      <c r="A267" s="79">
        <f t="shared" si="4"/>
        <v>263</v>
      </c>
      <c r="B267" s="74"/>
      <c r="C267" s="52"/>
      <c r="D267" s="52"/>
      <c r="E267" s="55"/>
    </row>
    <row r="268" spans="1:5" x14ac:dyDescent="0.25">
      <c r="A268" s="79">
        <f t="shared" si="4"/>
        <v>264</v>
      </c>
      <c r="B268" s="74"/>
      <c r="C268" s="52"/>
      <c r="D268" s="52"/>
      <c r="E268" s="55"/>
    </row>
    <row r="269" spans="1:5" x14ac:dyDescent="0.25">
      <c r="A269" s="79">
        <f t="shared" si="4"/>
        <v>265</v>
      </c>
      <c r="B269" s="74"/>
      <c r="C269" s="52"/>
      <c r="D269" s="52"/>
      <c r="E269" s="55"/>
    </row>
    <row r="270" spans="1:5" x14ac:dyDescent="0.25">
      <c r="A270" s="79">
        <f t="shared" si="4"/>
        <v>266</v>
      </c>
      <c r="B270" s="74"/>
      <c r="C270" s="52"/>
      <c r="D270" s="52"/>
      <c r="E270" s="55"/>
    </row>
    <row r="271" spans="1:5" x14ac:dyDescent="0.25">
      <c r="A271" s="79">
        <f t="shared" si="4"/>
        <v>267</v>
      </c>
      <c r="B271" s="74"/>
      <c r="C271" s="52"/>
      <c r="D271" s="52"/>
      <c r="E271" s="55"/>
    </row>
    <row r="272" spans="1:5" x14ac:dyDescent="0.25">
      <c r="A272" s="79">
        <f t="shared" si="4"/>
        <v>268</v>
      </c>
      <c r="B272" s="74"/>
      <c r="C272" s="52"/>
      <c r="D272" s="52"/>
      <c r="E272" s="55"/>
    </row>
    <row r="273" spans="1:5" x14ac:dyDescent="0.25">
      <c r="A273" s="79">
        <f t="shared" si="4"/>
        <v>269</v>
      </c>
      <c r="B273" s="74"/>
      <c r="C273" s="52"/>
      <c r="D273" s="52"/>
      <c r="E273" s="55"/>
    </row>
    <row r="274" spans="1:5" x14ac:dyDescent="0.25">
      <c r="A274" s="79">
        <f t="shared" si="4"/>
        <v>270</v>
      </c>
      <c r="B274" s="74"/>
      <c r="C274" s="52"/>
      <c r="D274" s="52"/>
      <c r="E274" s="55"/>
    </row>
    <row r="275" spans="1:5" x14ac:dyDescent="0.25">
      <c r="A275" s="79">
        <f t="shared" si="4"/>
        <v>271</v>
      </c>
      <c r="B275" s="74"/>
      <c r="C275" s="52"/>
      <c r="D275" s="52"/>
      <c r="E275" s="55"/>
    </row>
    <row r="276" spans="1:5" x14ac:dyDescent="0.25">
      <c r="A276" s="79">
        <f t="shared" si="4"/>
        <v>272</v>
      </c>
      <c r="B276" s="74"/>
      <c r="C276" s="52"/>
      <c r="D276" s="52"/>
      <c r="E276" s="55"/>
    </row>
    <row r="277" spans="1:5" x14ac:dyDescent="0.25">
      <c r="A277" s="79">
        <f t="shared" si="4"/>
        <v>273</v>
      </c>
      <c r="B277" s="74"/>
      <c r="C277" s="52"/>
      <c r="D277" s="52"/>
      <c r="E277" s="55"/>
    </row>
    <row r="278" spans="1:5" x14ac:dyDescent="0.25">
      <c r="A278" s="79">
        <f t="shared" si="4"/>
        <v>274</v>
      </c>
      <c r="B278" s="74"/>
      <c r="C278" s="52"/>
      <c r="D278" s="52"/>
      <c r="E278" s="55"/>
    </row>
    <row r="279" spans="1:5" x14ac:dyDescent="0.25">
      <c r="A279" s="79">
        <f t="shared" si="4"/>
        <v>275</v>
      </c>
      <c r="B279" s="74"/>
      <c r="C279" s="52"/>
      <c r="D279" s="52"/>
      <c r="E279" s="55"/>
    </row>
    <row r="280" spans="1:5" x14ac:dyDescent="0.25">
      <c r="A280" s="79">
        <f t="shared" si="4"/>
        <v>276</v>
      </c>
      <c r="B280" s="74"/>
      <c r="C280" s="52"/>
      <c r="D280" s="52"/>
      <c r="E280" s="55"/>
    </row>
    <row r="281" spans="1:5" x14ac:dyDescent="0.25">
      <c r="A281" s="79">
        <f t="shared" si="4"/>
        <v>277</v>
      </c>
      <c r="B281" s="74"/>
      <c r="C281" s="52"/>
      <c r="D281" s="52"/>
      <c r="E281" s="55"/>
    </row>
    <row r="282" spans="1:5" x14ac:dyDescent="0.25">
      <c r="A282" s="79">
        <f t="shared" si="4"/>
        <v>278</v>
      </c>
      <c r="B282" s="74"/>
      <c r="C282" s="52"/>
      <c r="D282" s="52"/>
      <c r="E282" s="55"/>
    </row>
    <row r="283" spans="1:5" x14ac:dyDescent="0.25">
      <c r="A283" s="79">
        <f t="shared" si="4"/>
        <v>279</v>
      </c>
      <c r="B283" s="74"/>
      <c r="C283" s="52"/>
      <c r="D283" s="52"/>
      <c r="E283" s="55"/>
    </row>
    <row r="284" spans="1:5" x14ac:dyDescent="0.25">
      <c r="A284" s="79">
        <f t="shared" si="4"/>
        <v>280</v>
      </c>
      <c r="B284" s="74"/>
      <c r="C284" s="52"/>
      <c r="D284" s="52"/>
      <c r="E284" s="55"/>
    </row>
    <row r="285" spans="1:5" x14ac:dyDescent="0.25">
      <c r="A285" s="79">
        <f t="shared" si="4"/>
        <v>281</v>
      </c>
      <c r="B285" s="74"/>
      <c r="C285" s="52"/>
      <c r="D285" s="52"/>
      <c r="E285" s="55"/>
    </row>
    <row r="286" spans="1:5" x14ac:dyDescent="0.25">
      <c r="A286" s="79">
        <f t="shared" si="4"/>
        <v>282</v>
      </c>
      <c r="B286" s="74"/>
      <c r="C286" s="52"/>
      <c r="D286" s="52"/>
      <c r="E286" s="55"/>
    </row>
    <row r="287" spans="1:5" x14ac:dyDescent="0.25">
      <c r="A287" s="79">
        <f t="shared" si="4"/>
        <v>283</v>
      </c>
      <c r="B287" s="74"/>
      <c r="C287" s="52"/>
      <c r="D287" s="52"/>
      <c r="E287" s="55"/>
    </row>
    <row r="288" spans="1:5" x14ac:dyDescent="0.25">
      <c r="A288" s="79">
        <f t="shared" si="4"/>
        <v>284</v>
      </c>
      <c r="B288" s="74"/>
      <c r="C288" s="52"/>
      <c r="D288" s="52"/>
      <c r="E288" s="55"/>
    </row>
    <row r="289" spans="1:5" x14ac:dyDescent="0.25">
      <c r="A289" s="79">
        <f t="shared" si="4"/>
        <v>285</v>
      </c>
      <c r="B289" s="74"/>
      <c r="C289" s="52"/>
      <c r="D289" s="52"/>
      <c r="E289" s="55"/>
    </row>
    <row r="290" spans="1:5" x14ac:dyDescent="0.25">
      <c r="A290" s="79">
        <f t="shared" si="4"/>
        <v>286</v>
      </c>
      <c r="B290" s="74"/>
      <c r="C290" s="52"/>
      <c r="D290" s="52"/>
      <c r="E290" s="55"/>
    </row>
    <row r="291" spans="1:5" x14ac:dyDescent="0.25">
      <c r="A291" s="79">
        <f t="shared" si="4"/>
        <v>287</v>
      </c>
      <c r="B291" s="74"/>
      <c r="C291" s="52"/>
      <c r="D291" s="52"/>
      <c r="E291" s="55"/>
    </row>
    <row r="292" spans="1:5" x14ac:dyDescent="0.25">
      <c r="A292" s="79">
        <f t="shared" si="4"/>
        <v>288</v>
      </c>
      <c r="B292" s="74"/>
      <c r="C292" s="52"/>
      <c r="D292" s="52"/>
      <c r="E292" s="55"/>
    </row>
    <row r="293" spans="1:5" x14ac:dyDescent="0.25">
      <c r="A293" s="79">
        <f t="shared" si="4"/>
        <v>289</v>
      </c>
      <c r="B293" s="74"/>
      <c r="C293" s="52"/>
      <c r="D293" s="52"/>
      <c r="E293" s="55"/>
    </row>
    <row r="294" spans="1:5" x14ac:dyDescent="0.25">
      <c r="A294" s="79">
        <f t="shared" si="4"/>
        <v>290</v>
      </c>
      <c r="B294" s="74"/>
      <c r="C294" s="52"/>
      <c r="D294" s="52"/>
      <c r="E294" s="55"/>
    </row>
    <row r="295" spans="1:5" x14ac:dyDescent="0.25">
      <c r="A295" s="79">
        <f t="shared" si="4"/>
        <v>291</v>
      </c>
      <c r="B295" s="74"/>
      <c r="C295" s="52"/>
      <c r="D295" s="52"/>
      <c r="E295" s="55"/>
    </row>
    <row r="296" spans="1:5" x14ac:dyDescent="0.25">
      <c r="A296" s="79">
        <f t="shared" si="4"/>
        <v>292</v>
      </c>
      <c r="B296" s="74"/>
      <c r="C296" s="52"/>
      <c r="D296" s="52"/>
      <c r="E296" s="55"/>
    </row>
    <row r="297" spans="1:5" x14ac:dyDescent="0.25">
      <c r="A297" s="79">
        <f t="shared" si="4"/>
        <v>293</v>
      </c>
      <c r="B297" s="74"/>
      <c r="C297" s="52"/>
      <c r="D297" s="52"/>
      <c r="E297" s="55"/>
    </row>
    <row r="298" spans="1:5" x14ac:dyDescent="0.25">
      <c r="A298" s="79">
        <f t="shared" si="4"/>
        <v>294</v>
      </c>
      <c r="B298" s="74"/>
      <c r="C298" s="52"/>
      <c r="D298" s="52"/>
      <c r="E298" s="55"/>
    </row>
    <row r="299" spans="1:5" x14ac:dyDescent="0.25">
      <c r="A299" s="79">
        <f t="shared" si="4"/>
        <v>295</v>
      </c>
      <c r="B299" s="74"/>
      <c r="C299" s="52"/>
      <c r="D299" s="52"/>
      <c r="E299" s="55"/>
    </row>
    <row r="300" spans="1:5" x14ac:dyDescent="0.25">
      <c r="A300" s="79">
        <f t="shared" si="4"/>
        <v>296</v>
      </c>
      <c r="B300" s="74"/>
      <c r="C300" s="52"/>
      <c r="D300" s="52"/>
      <c r="E300" s="55"/>
    </row>
    <row r="301" spans="1:5" x14ac:dyDescent="0.25">
      <c r="A301" s="79">
        <f t="shared" si="4"/>
        <v>297</v>
      </c>
      <c r="B301" s="74"/>
      <c r="C301" s="52"/>
      <c r="D301" s="52"/>
      <c r="E301" s="55"/>
    </row>
    <row r="302" spans="1:5" x14ac:dyDescent="0.25">
      <c r="A302" s="79">
        <f t="shared" si="4"/>
        <v>298</v>
      </c>
      <c r="B302" s="74"/>
      <c r="C302" s="52"/>
      <c r="D302" s="52"/>
      <c r="E302" s="55"/>
    </row>
    <row r="303" spans="1:5" x14ac:dyDescent="0.25">
      <c r="A303" s="79">
        <f t="shared" si="4"/>
        <v>299</v>
      </c>
      <c r="B303" s="74"/>
      <c r="C303" s="52"/>
      <c r="D303" s="52"/>
      <c r="E303" s="55"/>
    </row>
    <row r="304" spans="1:5" x14ac:dyDescent="0.25">
      <c r="A304" s="79">
        <f t="shared" si="4"/>
        <v>300</v>
      </c>
      <c r="B304" s="74"/>
      <c r="C304" s="52"/>
      <c r="D304" s="52"/>
      <c r="E304" s="55"/>
    </row>
    <row r="305" spans="1:5" x14ac:dyDescent="0.25">
      <c r="A305" s="79">
        <f t="shared" si="4"/>
        <v>301</v>
      </c>
      <c r="B305" s="74"/>
      <c r="C305" s="52"/>
      <c r="D305" s="52"/>
      <c r="E305" s="55"/>
    </row>
    <row r="306" spans="1:5" x14ac:dyDescent="0.25">
      <c r="A306" s="79">
        <f t="shared" si="4"/>
        <v>302</v>
      </c>
      <c r="B306" s="74"/>
      <c r="C306" s="52"/>
      <c r="D306" s="52"/>
      <c r="E306" s="55"/>
    </row>
    <row r="307" spans="1:5" x14ac:dyDescent="0.25">
      <c r="A307" s="79">
        <f t="shared" si="4"/>
        <v>303</v>
      </c>
      <c r="B307" s="74"/>
      <c r="C307" s="52"/>
      <c r="D307" s="52"/>
      <c r="E307" s="55"/>
    </row>
    <row r="308" spans="1:5" x14ac:dyDescent="0.25">
      <c r="A308" s="79">
        <f t="shared" si="4"/>
        <v>304</v>
      </c>
      <c r="B308" s="74"/>
      <c r="C308" s="52"/>
      <c r="D308" s="52"/>
      <c r="E308" s="55"/>
    </row>
    <row r="309" spans="1:5" x14ac:dyDescent="0.25">
      <c r="A309" s="79">
        <f t="shared" si="4"/>
        <v>305</v>
      </c>
      <c r="B309" s="74"/>
      <c r="C309" s="52"/>
      <c r="D309" s="52"/>
      <c r="E309" s="55"/>
    </row>
    <row r="310" spans="1:5" x14ac:dyDescent="0.25">
      <c r="A310" s="79">
        <f t="shared" si="4"/>
        <v>306</v>
      </c>
      <c r="B310" s="74"/>
      <c r="C310" s="52"/>
      <c r="D310" s="52"/>
      <c r="E310" s="55"/>
    </row>
    <row r="311" spans="1:5" x14ac:dyDescent="0.25">
      <c r="A311" s="79">
        <f t="shared" si="4"/>
        <v>307</v>
      </c>
      <c r="B311" s="74"/>
      <c r="C311" s="52"/>
      <c r="D311" s="52"/>
      <c r="E311" s="55"/>
    </row>
    <row r="312" spans="1:5" x14ac:dyDescent="0.25">
      <c r="A312" s="79">
        <f t="shared" si="4"/>
        <v>308</v>
      </c>
      <c r="B312" s="74"/>
      <c r="C312" s="52"/>
      <c r="D312" s="52"/>
      <c r="E312" s="55"/>
    </row>
    <row r="313" spans="1:5" x14ac:dyDescent="0.25">
      <c r="A313" s="79">
        <f t="shared" si="4"/>
        <v>309</v>
      </c>
      <c r="B313" s="74"/>
      <c r="C313" s="52"/>
      <c r="D313" s="52"/>
      <c r="E313" s="55"/>
    </row>
    <row r="314" spans="1:5" x14ac:dyDescent="0.25">
      <c r="A314" s="79">
        <f t="shared" si="4"/>
        <v>310</v>
      </c>
      <c r="B314" s="74"/>
      <c r="C314" s="52"/>
      <c r="D314" s="52"/>
      <c r="E314" s="55"/>
    </row>
    <row r="315" spans="1:5" x14ac:dyDescent="0.25">
      <c r="A315" s="79">
        <f t="shared" si="4"/>
        <v>311</v>
      </c>
      <c r="B315" s="74"/>
      <c r="C315" s="52"/>
      <c r="D315" s="52"/>
      <c r="E315" s="55"/>
    </row>
    <row r="316" spans="1:5" x14ac:dyDescent="0.25">
      <c r="A316" s="79">
        <f t="shared" si="4"/>
        <v>312</v>
      </c>
      <c r="B316" s="74"/>
      <c r="C316" s="52"/>
      <c r="D316" s="52"/>
      <c r="E316" s="55"/>
    </row>
    <row r="317" spans="1:5" x14ac:dyDescent="0.25">
      <c r="A317" s="79">
        <f t="shared" si="4"/>
        <v>313</v>
      </c>
      <c r="B317" s="74"/>
      <c r="C317" s="52"/>
      <c r="D317" s="52"/>
      <c r="E317" s="55"/>
    </row>
    <row r="318" spans="1:5" x14ac:dyDescent="0.25">
      <c r="A318" s="79">
        <f t="shared" si="4"/>
        <v>314</v>
      </c>
      <c r="B318" s="74"/>
      <c r="C318" s="52"/>
      <c r="D318" s="52"/>
      <c r="E318" s="55"/>
    </row>
    <row r="319" spans="1:5" x14ac:dyDescent="0.25">
      <c r="A319" s="79">
        <f t="shared" si="4"/>
        <v>315</v>
      </c>
      <c r="B319" s="74"/>
      <c r="C319" s="52"/>
      <c r="D319" s="52"/>
      <c r="E319" s="55"/>
    </row>
    <row r="320" spans="1:5" x14ac:dyDescent="0.25">
      <c r="A320" s="79">
        <f t="shared" si="4"/>
        <v>316</v>
      </c>
      <c r="B320" s="74"/>
      <c r="C320" s="52"/>
      <c r="D320" s="52"/>
      <c r="E320" s="55"/>
    </row>
    <row r="321" spans="1:5" x14ac:dyDescent="0.25">
      <c r="A321" s="79">
        <f t="shared" si="4"/>
        <v>317</v>
      </c>
      <c r="B321" s="74"/>
      <c r="C321" s="52"/>
      <c r="D321" s="52"/>
      <c r="E321" s="55"/>
    </row>
    <row r="322" spans="1:5" x14ac:dyDescent="0.25">
      <c r="A322" s="79">
        <f t="shared" si="4"/>
        <v>318</v>
      </c>
      <c r="B322" s="74"/>
      <c r="C322" s="52"/>
      <c r="D322" s="52"/>
      <c r="E322" s="55"/>
    </row>
    <row r="323" spans="1:5" x14ac:dyDescent="0.25">
      <c r="A323" s="79">
        <f t="shared" si="4"/>
        <v>319</v>
      </c>
      <c r="B323" s="74"/>
      <c r="C323" s="52"/>
      <c r="D323" s="52"/>
      <c r="E323" s="55"/>
    </row>
    <row r="324" spans="1:5" x14ac:dyDescent="0.25">
      <c r="A324" s="79">
        <f t="shared" si="4"/>
        <v>320</v>
      </c>
      <c r="B324" s="74"/>
      <c r="C324" s="52"/>
      <c r="D324" s="52"/>
      <c r="E324" s="55"/>
    </row>
    <row r="325" spans="1:5" x14ac:dyDescent="0.25">
      <c r="A325" s="79">
        <f t="shared" ref="A325:A388" si="5">ROW()-4</f>
        <v>321</v>
      </c>
      <c r="B325" s="74"/>
      <c r="C325" s="52"/>
      <c r="D325" s="52"/>
      <c r="E325" s="55"/>
    </row>
    <row r="326" spans="1:5" x14ac:dyDescent="0.25">
      <c r="A326" s="79">
        <f t="shared" si="5"/>
        <v>322</v>
      </c>
      <c r="B326" s="74"/>
      <c r="C326" s="52"/>
      <c r="D326" s="52"/>
      <c r="E326" s="55"/>
    </row>
    <row r="327" spans="1:5" x14ac:dyDescent="0.25">
      <c r="A327" s="79">
        <f t="shared" si="5"/>
        <v>323</v>
      </c>
      <c r="B327" s="74"/>
      <c r="C327" s="52"/>
      <c r="D327" s="52"/>
      <c r="E327" s="55"/>
    </row>
    <row r="328" spans="1:5" x14ac:dyDescent="0.25">
      <c r="A328" s="79">
        <f t="shared" si="5"/>
        <v>324</v>
      </c>
      <c r="B328" s="74"/>
      <c r="C328" s="52"/>
      <c r="D328" s="52"/>
      <c r="E328" s="55"/>
    </row>
    <row r="329" spans="1:5" x14ac:dyDescent="0.25">
      <c r="A329" s="79">
        <f t="shared" si="5"/>
        <v>325</v>
      </c>
      <c r="B329" s="74"/>
      <c r="C329" s="52"/>
      <c r="D329" s="52"/>
      <c r="E329" s="55"/>
    </row>
    <row r="330" spans="1:5" x14ac:dyDescent="0.25">
      <c r="A330" s="79">
        <f t="shared" si="5"/>
        <v>326</v>
      </c>
      <c r="B330" s="74"/>
      <c r="C330" s="52"/>
      <c r="D330" s="52"/>
      <c r="E330" s="55"/>
    </row>
    <row r="331" spans="1:5" x14ac:dyDescent="0.25">
      <c r="A331" s="79">
        <f t="shared" si="5"/>
        <v>327</v>
      </c>
      <c r="B331" s="74"/>
      <c r="C331" s="52"/>
      <c r="D331" s="52"/>
      <c r="E331" s="55"/>
    </row>
    <row r="332" spans="1:5" x14ac:dyDescent="0.25">
      <c r="A332" s="79">
        <f t="shared" si="5"/>
        <v>328</v>
      </c>
      <c r="B332" s="74"/>
      <c r="C332" s="52"/>
      <c r="D332" s="52"/>
      <c r="E332" s="55"/>
    </row>
    <row r="333" spans="1:5" x14ac:dyDescent="0.25">
      <c r="A333" s="79">
        <f t="shared" si="5"/>
        <v>329</v>
      </c>
      <c r="B333" s="74"/>
      <c r="C333" s="52"/>
      <c r="D333" s="52"/>
      <c r="E333" s="55"/>
    </row>
    <row r="334" spans="1:5" x14ac:dyDescent="0.25">
      <c r="A334" s="79">
        <f t="shared" si="5"/>
        <v>330</v>
      </c>
      <c r="B334" s="74"/>
      <c r="C334" s="52"/>
      <c r="D334" s="52"/>
      <c r="E334" s="55"/>
    </row>
    <row r="335" spans="1:5" x14ac:dyDescent="0.25">
      <c r="A335" s="79">
        <f t="shared" si="5"/>
        <v>331</v>
      </c>
      <c r="B335" s="74"/>
      <c r="C335" s="52"/>
      <c r="D335" s="52"/>
      <c r="E335" s="55"/>
    </row>
    <row r="336" spans="1:5" x14ac:dyDescent="0.25">
      <c r="A336" s="79">
        <f t="shared" si="5"/>
        <v>332</v>
      </c>
      <c r="B336" s="74"/>
      <c r="C336" s="52"/>
      <c r="D336" s="52"/>
      <c r="E336" s="55"/>
    </row>
    <row r="337" spans="1:5" x14ac:dyDescent="0.25">
      <c r="A337" s="79">
        <f t="shared" si="5"/>
        <v>333</v>
      </c>
      <c r="B337" s="74"/>
      <c r="C337" s="52"/>
      <c r="D337" s="52"/>
      <c r="E337" s="55"/>
    </row>
    <row r="338" spans="1:5" x14ac:dyDescent="0.25">
      <c r="A338" s="79">
        <f t="shared" si="5"/>
        <v>334</v>
      </c>
      <c r="B338" s="74"/>
      <c r="C338" s="52"/>
      <c r="D338" s="52"/>
      <c r="E338" s="55"/>
    </row>
    <row r="339" spans="1:5" x14ac:dyDescent="0.25">
      <c r="A339" s="79">
        <f t="shared" si="5"/>
        <v>335</v>
      </c>
      <c r="B339" s="74"/>
      <c r="C339" s="52"/>
      <c r="D339" s="52"/>
      <c r="E339" s="55"/>
    </row>
    <row r="340" spans="1:5" x14ac:dyDescent="0.25">
      <c r="A340" s="79">
        <f t="shared" si="5"/>
        <v>336</v>
      </c>
      <c r="B340" s="74"/>
      <c r="C340" s="52"/>
      <c r="D340" s="52"/>
      <c r="E340" s="55"/>
    </row>
    <row r="341" spans="1:5" x14ac:dyDescent="0.25">
      <c r="A341" s="79">
        <f t="shared" si="5"/>
        <v>337</v>
      </c>
      <c r="B341" s="74"/>
      <c r="C341" s="52"/>
      <c r="D341" s="52"/>
      <c r="E341" s="55"/>
    </row>
    <row r="342" spans="1:5" x14ac:dyDescent="0.25">
      <c r="A342" s="79">
        <f t="shared" si="5"/>
        <v>338</v>
      </c>
      <c r="B342" s="74"/>
      <c r="C342" s="52"/>
      <c r="D342" s="52"/>
      <c r="E342" s="55"/>
    </row>
    <row r="343" spans="1:5" x14ac:dyDescent="0.25">
      <c r="A343" s="79">
        <f t="shared" si="5"/>
        <v>339</v>
      </c>
      <c r="B343" s="74"/>
      <c r="C343" s="52"/>
      <c r="D343" s="52"/>
      <c r="E343" s="55"/>
    </row>
    <row r="344" spans="1:5" x14ac:dyDescent="0.25">
      <c r="A344" s="79">
        <f t="shared" si="5"/>
        <v>340</v>
      </c>
      <c r="B344" s="74"/>
      <c r="C344" s="52"/>
      <c r="D344" s="52"/>
      <c r="E344" s="55"/>
    </row>
    <row r="345" spans="1:5" x14ac:dyDescent="0.25">
      <c r="A345" s="79">
        <f t="shared" si="5"/>
        <v>341</v>
      </c>
      <c r="B345" s="74"/>
      <c r="C345" s="52"/>
      <c r="D345" s="52"/>
      <c r="E345" s="55"/>
    </row>
    <row r="346" spans="1:5" x14ac:dyDescent="0.25">
      <c r="A346" s="79">
        <f t="shared" si="5"/>
        <v>342</v>
      </c>
      <c r="B346" s="74"/>
      <c r="C346" s="52"/>
      <c r="D346" s="52"/>
      <c r="E346" s="55"/>
    </row>
    <row r="347" spans="1:5" x14ac:dyDescent="0.25">
      <c r="A347" s="79">
        <f t="shared" si="5"/>
        <v>343</v>
      </c>
      <c r="B347" s="74"/>
      <c r="C347" s="52"/>
      <c r="D347" s="52"/>
      <c r="E347" s="55"/>
    </row>
    <row r="348" spans="1:5" x14ac:dyDescent="0.25">
      <c r="A348" s="79">
        <f t="shared" si="5"/>
        <v>344</v>
      </c>
      <c r="B348" s="74"/>
      <c r="C348" s="52"/>
      <c r="D348" s="52"/>
      <c r="E348" s="55"/>
    </row>
    <row r="349" spans="1:5" x14ac:dyDescent="0.25">
      <c r="A349" s="79">
        <f t="shared" si="5"/>
        <v>345</v>
      </c>
      <c r="B349" s="74"/>
      <c r="C349" s="52"/>
      <c r="D349" s="52"/>
      <c r="E349" s="55"/>
    </row>
    <row r="350" spans="1:5" x14ac:dyDescent="0.25">
      <c r="A350" s="79">
        <f t="shared" si="5"/>
        <v>346</v>
      </c>
      <c r="B350" s="74"/>
      <c r="C350" s="52"/>
      <c r="D350" s="52"/>
      <c r="E350" s="55"/>
    </row>
    <row r="351" spans="1:5" x14ac:dyDescent="0.25">
      <c r="A351" s="79">
        <f t="shared" si="5"/>
        <v>347</v>
      </c>
      <c r="B351" s="74"/>
      <c r="C351" s="52"/>
      <c r="D351" s="52"/>
      <c r="E351" s="55"/>
    </row>
    <row r="352" spans="1:5" x14ac:dyDescent="0.25">
      <c r="A352" s="79">
        <f t="shared" si="5"/>
        <v>348</v>
      </c>
      <c r="B352" s="74"/>
      <c r="C352" s="52"/>
      <c r="D352" s="52"/>
      <c r="E352" s="55"/>
    </row>
    <row r="353" spans="1:5" x14ac:dyDescent="0.25">
      <c r="A353" s="79">
        <f t="shared" si="5"/>
        <v>349</v>
      </c>
      <c r="B353" s="74"/>
      <c r="C353" s="52"/>
      <c r="D353" s="52"/>
      <c r="E353" s="55"/>
    </row>
    <row r="354" spans="1:5" x14ac:dyDescent="0.25">
      <c r="A354" s="79">
        <f t="shared" si="5"/>
        <v>350</v>
      </c>
      <c r="B354" s="74"/>
      <c r="C354" s="52"/>
      <c r="D354" s="52"/>
      <c r="E354" s="55"/>
    </row>
    <row r="355" spans="1:5" x14ac:dyDescent="0.25">
      <c r="A355" s="79">
        <f t="shared" si="5"/>
        <v>351</v>
      </c>
      <c r="B355" s="74"/>
      <c r="C355" s="52"/>
      <c r="D355" s="52"/>
      <c r="E355" s="55"/>
    </row>
    <row r="356" spans="1:5" x14ac:dyDescent="0.25">
      <c r="A356" s="79">
        <f t="shared" si="5"/>
        <v>352</v>
      </c>
      <c r="B356" s="74"/>
      <c r="C356" s="52"/>
      <c r="D356" s="52"/>
      <c r="E356" s="55"/>
    </row>
    <row r="357" spans="1:5" x14ac:dyDescent="0.25">
      <c r="A357" s="79">
        <f t="shared" si="5"/>
        <v>353</v>
      </c>
      <c r="B357" s="74"/>
      <c r="C357" s="52"/>
      <c r="D357" s="52"/>
      <c r="E357" s="55"/>
    </row>
    <row r="358" spans="1:5" x14ac:dyDescent="0.25">
      <c r="A358" s="79">
        <f t="shared" si="5"/>
        <v>354</v>
      </c>
      <c r="B358" s="74"/>
      <c r="C358" s="52"/>
      <c r="D358" s="52"/>
      <c r="E358" s="55"/>
    </row>
    <row r="359" spans="1:5" x14ac:dyDescent="0.25">
      <c r="A359" s="79">
        <f t="shared" si="5"/>
        <v>355</v>
      </c>
      <c r="B359" s="74"/>
      <c r="C359" s="52"/>
      <c r="D359" s="52"/>
      <c r="E359" s="55"/>
    </row>
    <row r="360" spans="1:5" x14ac:dyDescent="0.25">
      <c r="A360" s="79">
        <f t="shared" si="5"/>
        <v>356</v>
      </c>
      <c r="B360" s="74"/>
      <c r="C360" s="52"/>
      <c r="D360" s="52"/>
      <c r="E360" s="55"/>
    </row>
    <row r="361" spans="1:5" x14ac:dyDescent="0.25">
      <c r="A361" s="79">
        <f t="shared" si="5"/>
        <v>357</v>
      </c>
      <c r="B361" s="74"/>
      <c r="C361" s="52"/>
      <c r="D361" s="52"/>
      <c r="E361" s="55"/>
    </row>
    <row r="362" spans="1:5" x14ac:dyDescent="0.25">
      <c r="A362" s="79">
        <f t="shared" si="5"/>
        <v>358</v>
      </c>
      <c r="B362" s="74"/>
      <c r="C362" s="52"/>
      <c r="D362" s="52"/>
      <c r="E362" s="55"/>
    </row>
    <row r="363" spans="1:5" x14ac:dyDescent="0.25">
      <c r="A363" s="79">
        <f t="shared" si="5"/>
        <v>359</v>
      </c>
      <c r="B363" s="74"/>
      <c r="C363" s="52"/>
      <c r="D363" s="52"/>
      <c r="E363" s="55"/>
    </row>
    <row r="364" spans="1:5" x14ac:dyDescent="0.25">
      <c r="A364" s="79">
        <f t="shared" si="5"/>
        <v>360</v>
      </c>
      <c r="B364" s="74"/>
      <c r="C364" s="52"/>
      <c r="D364" s="52"/>
      <c r="E364" s="55"/>
    </row>
    <row r="365" spans="1:5" x14ac:dyDescent="0.25">
      <c r="A365" s="79">
        <f t="shared" si="5"/>
        <v>361</v>
      </c>
      <c r="B365" s="74"/>
      <c r="C365" s="52"/>
      <c r="D365" s="52"/>
      <c r="E365" s="55"/>
    </row>
    <row r="366" spans="1:5" x14ac:dyDescent="0.25">
      <c r="A366" s="79">
        <f t="shared" si="5"/>
        <v>362</v>
      </c>
      <c r="B366" s="74"/>
      <c r="C366" s="52"/>
      <c r="D366" s="52"/>
      <c r="E366" s="55"/>
    </row>
    <row r="367" spans="1:5" x14ac:dyDescent="0.25">
      <c r="A367" s="79">
        <f t="shared" si="5"/>
        <v>363</v>
      </c>
      <c r="B367" s="74"/>
      <c r="C367" s="52"/>
      <c r="D367" s="52"/>
      <c r="E367" s="55"/>
    </row>
    <row r="368" spans="1:5" x14ac:dyDescent="0.25">
      <c r="A368" s="79">
        <f t="shared" si="5"/>
        <v>364</v>
      </c>
      <c r="B368" s="74"/>
      <c r="C368" s="52"/>
      <c r="D368" s="52"/>
      <c r="E368" s="55"/>
    </row>
    <row r="369" spans="1:5" x14ac:dyDescent="0.25">
      <c r="A369" s="79">
        <f t="shared" si="5"/>
        <v>365</v>
      </c>
      <c r="B369" s="74"/>
      <c r="C369" s="52"/>
      <c r="D369" s="52"/>
      <c r="E369" s="55"/>
    </row>
    <row r="370" spans="1:5" x14ac:dyDescent="0.25">
      <c r="A370" s="79">
        <f t="shared" si="5"/>
        <v>366</v>
      </c>
      <c r="B370" s="74"/>
      <c r="C370" s="52"/>
      <c r="D370" s="52"/>
      <c r="E370" s="55"/>
    </row>
    <row r="371" spans="1:5" x14ac:dyDescent="0.25">
      <c r="A371" s="79">
        <f t="shared" si="5"/>
        <v>367</v>
      </c>
      <c r="B371" s="74"/>
      <c r="C371" s="52"/>
      <c r="D371" s="52"/>
      <c r="E371" s="55"/>
    </row>
    <row r="372" spans="1:5" x14ac:dyDescent="0.25">
      <c r="A372" s="79">
        <f t="shared" si="5"/>
        <v>368</v>
      </c>
      <c r="B372" s="74"/>
      <c r="C372" s="52"/>
      <c r="D372" s="52"/>
      <c r="E372" s="55"/>
    </row>
    <row r="373" spans="1:5" x14ac:dyDescent="0.25">
      <c r="A373" s="79">
        <f t="shared" si="5"/>
        <v>369</v>
      </c>
      <c r="B373" s="74"/>
      <c r="C373" s="52"/>
      <c r="D373" s="52"/>
      <c r="E373" s="55"/>
    </row>
    <row r="374" spans="1:5" x14ac:dyDescent="0.25">
      <c r="A374" s="79">
        <f t="shared" si="5"/>
        <v>370</v>
      </c>
      <c r="B374" s="74"/>
      <c r="C374" s="52"/>
      <c r="D374" s="52"/>
      <c r="E374" s="55"/>
    </row>
    <row r="375" spans="1:5" x14ac:dyDescent="0.25">
      <c r="A375" s="79">
        <f t="shared" si="5"/>
        <v>371</v>
      </c>
      <c r="B375" s="74"/>
      <c r="C375" s="52"/>
      <c r="D375" s="52"/>
      <c r="E375" s="55"/>
    </row>
    <row r="376" spans="1:5" x14ac:dyDescent="0.25">
      <c r="A376" s="79">
        <f t="shared" si="5"/>
        <v>372</v>
      </c>
      <c r="B376" s="74"/>
      <c r="C376" s="52"/>
      <c r="D376" s="52"/>
      <c r="E376" s="55"/>
    </row>
    <row r="377" spans="1:5" x14ac:dyDescent="0.25">
      <c r="A377" s="79">
        <f t="shared" si="5"/>
        <v>373</v>
      </c>
      <c r="B377" s="74"/>
      <c r="C377" s="52"/>
      <c r="D377" s="52"/>
      <c r="E377" s="55"/>
    </row>
    <row r="378" spans="1:5" x14ac:dyDescent="0.25">
      <c r="A378" s="79">
        <f t="shared" si="5"/>
        <v>374</v>
      </c>
      <c r="B378" s="74"/>
      <c r="C378" s="52"/>
      <c r="D378" s="52"/>
      <c r="E378" s="55"/>
    </row>
    <row r="379" spans="1:5" x14ac:dyDescent="0.25">
      <c r="A379" s="79">
        <f t="shared" si="5"/>
        <v>375</v>
      </c>
      <c r="B379" s="74"/>
      <c r="C379" s="52"/>
      <c r="D379" s="52"/>
      <c r="E379" s="55"/>
    </row>
    <row r="380" spans="1:5" x14ac:dyDescent="0.25">
      <c r="A380" s="79">
        <f t="shared" si="5"/>
        <v>376</v>
      </c>
      <c r="B380" s="74"/>
      <c r="C380" s="52"/>
      <c r="D380" s="52"/>
      <c r="E380" s="55"/>
    </row>
    <row r="381" spans="1:5" x14ac:dyDescent="0.25">
      <c r="A381" s="79">
        <f t="shared" si="5"/>
        <v>377</v>
      </c>
      <c r="B381" s="74"/>
      <c r="C381" s="52"/>
      <c r="D381" s="52"/>
      <c r="E381" s="55"/>
    </row>
    <row r="382" spans="1:5" x14ac:dyDescent="0.25">
      <c r="A382" s="79">
        <f t="shared" si="5"/>
        <v>378</v>
      </c>
      <c r="B382" s="74"/>
      <c r="C382" s="52"/>
      <c r="D382" s="52"/>
      <c r="E382" s="55"/>
    </row>
    <row r="383" spans="1:5" x14ac:dyDescent="0.25">
      <c r="A383" s="79">
        <f t="shared" si="5"/>
        <v>379</v>
      </c>
      <c r="B383" s="74"/>
      <c r="C383" s="52"/>
      <c r="D383" s="52"/>
      <c r="E383" s="55"/>
    </row>
    <row r="384" spans="1:5" x14ac:dyDescent="0.25">
      <c r="A384" s="79">
        <f t="shared" si="5"/>
        <v>380</v>
      </c>
      <c r="B384" s="74"/>
      <c r="C384" s="52"/>
      <c r="D384" s="52"/>
      <c r="E384" s="55"/>
    </row>
    <row r="385" spans="1:5" x14ac:dyDescent="0.25">
      <c r="A385" s="79">
        <f t="shared" si="5"/>
        <v>381</v>
      </c>
      <c r="B385" s="74"/>
      <c r="C385" s="52"/>
      <c r="D385" s="52"/>
      <c r="E385" s="55"/>
    </row>
    <row r="386" spans="1:5" x14ac:dyDescent="0.25">
      <c r="A386" s="79">
        <f t="shared" si="5"/>
        <v>382</v>
      </c>
      <c r="B386" s="74"/>
      <c r="C386" s="52"/>
      <c r="D386" s="52"/>
      <c r="E386" s="55"/>
    </row>
    <row r="387" spans="1:5" x14ac:dyDescent="0.25">
      <c r="A387" s="79">
        <f t="shared" si="5"/>
        <v>383</v>
      </c>
      <c r="B387" s="74"/>
      <c r="C387" s="52"/>
      <c r="D387" s="52"/>
      <c r="E387" s="55"/>
    </row>
    <row r="388" spans="1:5" x14ac:dyDescent="0.25">
      <c r="A388" s="79">
        <f t="shared" si="5"/>
        <v>384</v>
      </c>
      <c r="B388" s="74"/>
      <c r="C388" s="52"/>
      <c r="D388" s="52"/>
      <c r="E388" s="55"/>
    </row>
    <row r="389" spans="1:5" x14ac:dyDescent="0.25">
      <c r="A389" s="79">
        <f t="shared" ref="A389:A452" si="6">ROW()-4</f>
        <v>385</v>
      </c>
      <c r="B389" s="74"/>
      <c r="C389" s="52"/>
      <c r="D389" s="52"/>
      <c r="E389" s="55"/>
    </row>
    <row r="390" spans="1:5" x14ac:dyDescent="0.25">
      <c r="A390" s="79">
        <f t="shared" si="6"/>
        <v>386</v>
      </c>
      <c r="B390" s="74"/>
      <c r="C390" s="52"/>
      <c r="D390" s="52"/>
      <c r="E390" s="55"/>
    </row>
    <row r="391" spans="1:5" x14ac:dyDescent="0.25">
      <c r="A391" s="79">
        <f t="shared" si="6"/>
        <v>387</v>
      </c>
      <c r="B391" s="74"/>
      <c r="C391" s="52"/>
      <c r="D391" s="52"/>
      <c r="E391" s="55"/>
    </row>
    <row r="392" spans="1:5" x14ac:dyDescent="0.25">
      <c r="A392" s="79">
        <f t="shared" si="6"/>
        <v>388</v>
      </c>
      <c r="B392" s="74"/>
      <c r="C392" s="52"/>
      <c r="D392" s="52"/>
      <c r="E392" s="55"/>
    </row>
    <row r="393" spans="1:5" x14ac:dyDescent="0.25">
      <c r="A393" s="79">
        <f t="shared" si="6"/>
        <v>389</v>
      </c>
      <c r="B393" s="74"/>
      <c r="C393" s="52"/>
      <c r="D393" s="52"/>
      <c r="E393" s="55"/>
    </row>
    <row r="394" spans="1:5" x14ac:dyDescent="0.25">
      <c r="A394" s="79">
        <f t="shared" si="6"/>
        <v>390</v>
      </c>
      <c r="B394" s="74"/>
      <c r="C394" s="52"/>
      <c r="D394" s="52"/>
      <c r="E394" s="55"/>
    </row>
    <row r="395" spans="1:5" x14ac:dyDescent="0.25">
      <c r="A395" s="79">
        <f t="shared" si="6"/>
        <v>391</v>
      </c>
      <c r="B395" s="74"/>
      <c r="C395" s="52"/>
      <c r="D395" s="52"/>
      <c r="E395" s="55"/>
    </row>
    <row r="396" spans="1:5" x14ac:dyDescent="0.25">
      <c r="A396" s="79">
        <f t="shared" si="6"/>
        <v>392</v>
      </c>
      <c r="B396" s="74"/>
      <c r="C396" s="52"/>
      <c r="D396" s="52"/>
      <c r="E396" s="55"/>
    </row>
    <row r="397" spans="1:5" x14ac:dyDescent="0.25">
      <c r="A397" s="79">
        <f t="shared" si="6"/>
        <v>393</v>
      </c>
      <c r="B397" s="74"/>
      <c r="C397" s="52"/>
      <c r="D397" s="52"/>
      <c r="E397" s="55"/>
    </row>
    <row r="398" spans="1:5" x14ac:dyDescent="0.25">
      <c r="A398" s="79">
        <f t="shared" si="6"/>
        <v>394</v>
      </c>
      <c r="B398" s="74"/>
      <c r="C398" s="52"/>
      <c r="D398" s="52"/>
      <c r="E398" s="55"/>
    </row>
    <row r="399" spans="1:5" x14ac:dyDescent="0.25">
      <c r="A399" s="79">
        <f t="shared" si="6"/>
        <v>395</v>
      </c>
      <c r="B399" s="74"/>
      <c r="C399" s="52"/>
      <c r="D399" s="52"/>
      <c r="E399" s="55"/>
    </row>
    <row r="400" spans="1:5" x14ac:dyDescent="0.25">
      <c r="A400" s="79">
        <f t="shared" si="6"/>
        <v>396</v>
      </c>
      <c r="B400" s="74"/>
      <c r="C400" s="52"/>
      <c r="D400" s="52"/>
      <c r="E400" s="55"/>
    </row>
    <row r="401" spans="1:5" x14ac:dyDescent="0.25">
      <c r="A401" s="79">
        <f t="shared" si="6"/>
        <v>397</v>
      </c>
      <c r="B401" s="74"/>
      <c r="C401" s="52"/>
      <c r="D401" s="52"/>
      <c r="E401" s="55"/>
    </row>
    <row r="402" spans="1:5" x14ac:dyDescent="0.25">
      <c r="A402" s="79">
        <f t="shared" si="6"/>
        <v>398</v>
      </c>
      <c r="B402" s="74"/>
      <c r="C402" s="52"/>
      <c r="D402" s="52"/>
      <c r="E402" s="55"/>
    </row>
    <row r="403" spans="1:5" x14ac:dyDescent="0.25">
      <c r="A403" s="79">
        <f t="shared" si="6"/>
        <v>399</v>
      </c>
      <c r="B403" s="74"/>
      <c r="C403" s="52"/>
      <c r="D403" s="52"/>
      <c r="E403" s="55"/>
    </row>
    <row r="404" spans="1:5" x14ac:dyDescent="0.25">
      <c r="A404" s="79">
        <f t="shared" si="6"/>
        <v>400</v>
      </c>
      <c r="B404" s="74"/>
      <c r="C404" s="52"/>
      <c r="D404" s="52"/>
      <c r="E404" s="55"/>
    </row>
    <row r="405" spans="1:5" x14ac:dyDescent="0.25">
      <c r="A405" s="79">
        <f t="shared" si="6"/>
        <v>401</v>
      </c>
      <c r="B405" s="74"/>
      <c r="C405" s="52"/>
      <c r="D405" s="52"/>
      <c r="E405" s="55"/>
    </row>
    <row r="406" spans="1:5" x14ac:dyDescent="0.25">
      <c r="A406" s="79">
        <f t="shared" si="6"/>
        <v>402</v>
      </c>
      <c r="B406" s="74"/>
      <c r="C406" s="52"/>
      <c r="D406" s="52"/>
      <c r="E406" s="55"/>
    </row>
    <row r="407" spans="1:5" x14ac:dyDescent="0.25">
      <c r="A407" s="79">
        <f t="shared" si="6"/>
        <v>403</v>
      </c>
      <c r="B407" s="74"/>
      <c r="C407" s="52"/>
      <c r="D407" s="52"/>
      <c r="E407" s="55"/>
    </row>
    <row r="408" spans="1:5" x14ac:dyDescent="0.25">
      <c r="A408" s="79">
        <f t="shared" si="6"/>
        <v>404</v>
      </c>
      <c r="B408" s="74"/>
      <c r="C408" s="52"/>
      <c r="D408" s="52"/>
      <c r="E408" s="55"/>
    </row>
    <row r="409" spans="1:5" x14ac:dyDescent="0.25">
      <c r="A409" s="79">
        <f t="shared" si="6"/>
        <v>405</v>
      </c>
      <c r="B409" s="74"/>
      <c r="C409" s="52"/>
      <c r="D409" s="52"/>
      <c r="E409" s="55"/>
    </row>
    <row r="410" spans="1:5" x14ac:dyDescent="0.25">
      <c r="A410" s="79">
        <f t="shared" si="6"/>
        <v>406</v>
      </c>
      <c r="B410" s="74"/>
      <c r="C410" s="52"/>
      <c r="D410" s="52"/>
      <c r="E410" s="55"/>
    </row>
    <row r="411" spans="1:5" x14ac:dyDescent="0.25">
      <c r="A411" s="79">
        <f t="shared" si="6"/>
        <v>407</v>
      </c>
      <c r="B411" s="74"/>
      <c r="C411" s="52"/>
      <c r="D411" s="52"/>
      <c r="E411" s="55"/>
    </row>
    <row r="412" spans="1:5" x14ac:dyDescent="0.25">
      <c r="A412" s="79">
        <f t="shared" si="6"/>
        <v>408</v>
      </c>
      <c r="B412" s="74"/>
      <c r="C412" s="52"/>
      <c r="D412" s="52"/>
      <c r="E412" s="55"/>
    </row>
    <row r="413" spans="1:5" x14ac:dyDescent="0.25">
      <c r="A413" s="79">
        <f t="shared" si="6"/>
        <v>409</v>
      </c>
      <c r="B413" s="74"/>
      <c r="C413" s="52"/>
      <c r="D413" s="52"/>
      <c r="E413" s="55"/>
    </row>
    <row r="414" spans="1:5" x14ac:dyDescent="0.25">
      <c r="A414" s="79">
        <f t="shared" si="6"/>
        <v>410</v>
      </c>
      <c r="B414" s="74"/>
      <c r="C414" s="52"/>
      <c r="D414" s="52"/>
      <c r="E414" s="55"/>
    </row>
    <row r="415" spans="1:5" x14ac:dyDescent="0.25">
      <c r="A415" s="79">
        <f t="shared" si="6"/>
        <v>411</v>
      </c>
      <c r="B415" s="74"/>
      <c r="C415" s="52"/>
      <c r="D415" s="52"/>
      <c r="E415" s="55"/>
    </row>
    <row r="416" spans="1:5" x14ac:dyDescent="0.25">
      <c r="A416" s="79">
        <f t="shared" si="6"/>
        <v>412</v>
      </c>
      <c r="B416" s="74"/>
      <c r="C416" s="52"/>
      <c r="D416" s="52"/>
      <c r="E416" s="55"/>
    </row>
    <row r="417" spans="1:5" x14ac:dyDescent="0.25">
      <c r="A417" s="79">
        <f t="shared" si="6"/>
        <v>413</v>
      </c>
      <c r="B417" s="74"/>
      <c r="C417" s="52"/>
      <c r="D417" s="52"/>
      <c r="E417" s="55"/>
    </row>
    <row r="418" spans="1:5" x14ac:dyDescent="0.25">
      <c r="A418" s="79">
        <f t="shared" si="6"/>
        <v>414</v>
      </c>
      <c r="B418" s="74"/>
      <c r="C418" s="52"/>
      <c r="D418" s="52"/>
      <c r="E418" s="55"/>
    </row>
    <row r="419" spans="1:5" x14ac:dyDescent="0.25">
      <c r="A419" s="79">
        <f t="shared" si="6"/>
        <v>415</v>
      </c>
      <c r="B419" s="74"/>
      <c r="C419" s="52"/>
      <c r="D419" s="52"/>
      <c r="E419" s="55"/>
    </row>
    <row r="420" spans="1:5" x14ac:dyDescent="0.25">
      <c r="A420" s="79">
        <f t="shared" si="6"/>
        <v>416</v>
      </c>
      <c r="B420" s="74"/>
      <c r="C420" s="52"/>
      <c r="D420" s="52"/>
      <c r="E420" s="55"/>
    </row>
    <row r="421" spans="1:5" x14ac:dyDescent="0.25">
      <c r="A421" s="79">
        <f t="shared" si="6"/>
        <v>417</v>
      </c>
      <c r="B421" s="74"/>
      <c r="C421" s="52"/>
      <c r="D421" s="52"/>
      <c r="E421" s="55"/>
    </row>
    <row r="422" spans="1:5" x14ac:dyDescent="0.25">
      <c r="A422" s="79">
        <f t="shared" si="6"/>
        <v>418</v>
      </c>
      <c r="B422" s="74"/>
      <c r="C422" s="52"/>
      <c r="D422" s="52"/>
      <c r="E422" s="55"/>
    </row>
    <row r="423" spans="1:5" x14ac:dyDescent="0.25">
      <c r="A423" s="79">
        <f t="shared" si="6"/>
        <v>419</v>
      </c>
      <c r="B423" s="74"/>
      <c r="C423" s="52"/>
      <c r="D423" s="52"/>
      <c r="E423" s="55"/>
    </row>
    <row r="424" spans="1:5" x14ac:dyDescent="0.25">
      <c r="A424" s="79">
        <f t="shared" si="6"/>
        <v>420</v>
      </c>
      <c r="B424" s="74"/>
      <c r="C424" s="52"/>
      <c r="D424" s="52"/>
      <c r="E424" s="55"/>
    </row>
    <row r="425" spans="1:5" x14ac:dyDescent="0.25">
      <c r="A425" s="79">
        <f t="shared" si="6"/>
        <v>421</v>
      </c>
      <c r="B425" s="74"/>
      <c r="C425" s="52"/>
      <c r="D425" s="52"/>
      <c r="E425" s="55"/>
    </row>
    <row r="426" spans="1:5" x14ac:dyDescent="0.25">
      <c r="A426" s="79">
        <f t="shared" si="6"/>
        <v>422</v>
      </c>
      <c r="B426" s="74"/>
      <c r="C426" s="52"/>
      <c r="D426" s="52"/>
      <c r="E426" s="55"/>
    </row>
    <row r="427" spans="1:5" x14ac:dyDescent="0.25">
      <c r="A427" s="79">
        <f t="shared" si="6"/>
        <v>423</v>
      </c>
      <c r="B427" s="74"/>
      <c r="C427" s="52"/>
      <c r="D427" s="52"/>
      <c r="E427" s="55"/>
    </row>
    <row r="428" spans="1:5" x14ac:dyDescent="0.25">
      <c r="A428" s="79">
        <f t="shared" si="6"/>
        <v>424</v>
      </c>
      <c r="B428" s="74"/>
      <c r="C428" s="52"/>
      <c r="D428" s="52"/>
      <c r="E428" s="55"/>
    </row>
    <row r="429" spans="1:5" x14ac:dyDescent="0.25">
      <c r="A429" s="79">
        <f t="shared" si="6"/>
        <v>425</v>
      </c>
      <c r="B429" s="74"/>
      <c r="C429" s="52"/>
      <c r="D429" s="52"/>
      <c r="E429" s="55"/>
    </row>
    <row r="430" spans="1:5" x14ac:dyDescent="0.25">
      <c r="A430" s="79">
        <f t="shared" si="6"/>
        <v>426</v>
      </c>
      <c r="B430" s="74"/>
      <c r="C430" s="52"/>
      <c r="D430" s="52"/>
      <c r="E430" s="55"/>
    </row>
    <row r="431" spans="1:5" x14ac:dyDescent="0.25">
      <c r="A431" s="79">
        <f t="shared" si="6"/>
        <v>427</v>
      </c>
      <c r="B431" s="74"/>
      <c r="C431" s="52"/>
      <c r="D431" s="52"/>
      <c r="E431" s="55"/>
    </row>
    <row r="432" spans="1:5" x14ac:dyDescent="0.25">
      <c r="A432" s="79">
        <f t="shared" si="6"/>
        <v>428</v>
      </c>
      <c r="B432" s="74"/>
      <c r="C432" s="52"/>
      <c r="D432" s="52"/>
      <c r="E432" s="55"/>
    </row>
    <row r="433" spans="1:5" x14ac:dyDescent="0.25">
      <c r="A433" s="79">
        <f t="shared" si="6"/>
        <v>429</v>
      </c>
      <c r="B433" s="74"/>
      <c r="C433" s="52"/>
      <c r="D433" s="52"/>
      <c r="E433" s="55"/>
    </row>
    <row r="434" spans="1:5" x14ac:dyDescent="0.25">
      <c r="A434" s="79">
        <f t="shared" si="6"/>
        <v>430</v>
      </c>
      <c r="B434" s="74"/>
      <c r="C434" s="52"/>
      <c r="D434" s="52"/>
      <c r="E434" s="55"/>
    </row>
    <row r="435" spans="1:5" x14ac:dyDescent="0.25">
      <c r="A435" s="79">
        <f t="shared" si="6"/>
        <v>431</v>
      </c>
      <c r="B435" s="74"/>
      <c r="C435" s="52"/>
      <c r="D435" s="52"/>
      <c r="E435" s="55"/>
    </row>
    <row r="436" spans="1:5" x14ac:dyDescent="0.25">
      <c r="A436" s="79">
        <f t="shared" si="6"/>
        <v>432</v>
      </c>
      <c r="B436" s="74"/>
      <c r="C436" s="52"/>
      <c r="D436" s="52"/>
      <c r="E436" s="55"/>
    </row>
    <row r="437" spans="1:5" x14ac:dyDescent="0.25">
      <c r="A437" s="79">
        <f t="shared" si="6"/>
        <v>433</v>
      </c>
      <c r="B437" s="74"/>
      <c r="C437" s="52"/>
      <c r="D437" s="52"/>
      <c r="E437" s="55"/>
    </row>
    <row r="438" spans="1:5" x14ac:dyDescent="0.25">
      <c r="A438" s="79">
        <f t="shared" si="6"/>
        <v>434</v>
      </c>
      <c r="B438" s="74"/>
      <c r="C438" s="52"/>
      <c r="D438" s="52"/>
      <c r="E438" s="55"/>
    </row>
    <row r="439" spans="1:5" x14ac:dyDescent="0.25">
      <c r="A439" s="79">
        <f t="shared" si="6"/>
        <v>435</v>
      </c>
      <c r="B439" s="74"/>
      <c r="C439" s="52"/>
      <c r="D439" s="52"/>
      <c r="E439" s="55"/>
    </row>
    <row r="440" spans="1:5" x14ac:dyDescent="0.25">
      <c r="A440" s="79">
        <f t="shared" si="6"/>
        <v>436</v>
      </c>
      <c r="B440" s="74"/>
      <c r="C440" s="52"/>
      <c r="D440" s="52"/>
      <c r="E440" s="55"/>
    </row>
    <row r="441" spans="1:5" x14ac:dyDescent="0.25">
      <c r="A441" s="79">
        <f t="shared" si="6"/>
        <v>437</v>
      </c>
      <c r="B441" s="74"/>
      <c r="C441" s="52"/>
      <c r="D441" s="52"/>
      <c r="E441" s="55"/>
    </row>
    <row r="442" spans="1:5" x14ac:dyDescent="0.25">
      <c r="A442" s="79">
        <f t="shared" si="6"/>
        <v>438</v>
      </c>
      <c r="B442" s="74"/>
      <c r="C442" s="52"/>
      <c r="D442" s="52"/>
      <c r="E442" s="55"/>
    </row>
    <row r="443" spans="1:5" x14ac:dyDescent="0.25">
      <c r="A443" s="79">
        <f t="shared" si="6"/>
        <v>439</v>
      </c>
      <c r="B443" s="74"/>
      <c r="C443" s="52"/>
      <c r="D443" s="52"/>
      <c r="E443" s="55"/>
    </row>
    <row r="444" spans="1:5" x14ac:dyDescent="0.25">
      <c r="A444" s="79">
        <f t="shared" si="6"/>
        <v>440</v>
      </c>
      <c r="B444" s="74"/>
      <c r="C444" s="52"/>
      <c r="D444" s="52"/>
      <c r="E444" s="55"/>
    </row>
    <row r="445" spans="1:5" x14ac:dyDescent="0.25">
      <c r="A445" s="79">
        <f t="shared" si="6"/>
        <v>441</v>
      </c>
      <c r="B445" s="74"/>
      <c r="C445" s="52"/>
      <c r="D445" s="52"/>
      <c r="E445" s="55"/>
    </row>
    <row r="446" spans="1:5" x14ac:dyDescent="0.25">
      <c r="A446" s="79">
        <f t="shared" si="6"/>
        <v>442</v>
      </c>
      <c r="B446" s="74"/>
      <c r="C446" s="52"/>
      <c r="D446" s="52"/>
      <c r="E446" s="55"/>
    </row>
    <row r="447" spans="1:5" x14ac:dyDescent="0.25">
      <c r="A447" s="79">
        <f t="shared" si="6"/>
        <v>443</v>
      </c>
      <c r="B447" s="74"/>
      <c r="C447" s="52"/>
      <c r="D447" s="52"/>
      <c r="E447" s="55"/>
    </row>
    <row r="448" spans="1:5" x14ac:dyDescent="0.25">
      <c r="A448" s="79">
        <f t="shared" si="6"/>
        <v>444</v>
      </c>
      <c r="B448" s="74"/>
      <c r="C448" s="52"/>
      <c r="D448" s="52"/>
      <c r="E448" s="55"/>
    </row>
    <row r="449" spans="1:5" x14ac:dyDescent="0.25">
      <c r="A449" s="79">
        <f t="shared" si="6"/>
        <v>445</v>
      </c>
      <c r="B449" s="74"/>
      <c r="C449" s="52"/>
      <c r="D449" s="52"/>
      <c r="E449" s="55"/>
    </row>
    <row r="450" spans="1:5" x14ac:dyDescent="0.25">
      <c r="A450" s="79">
        <f t="shared" si="6"/>
        <v>446</v>
      </c>
      <c r="B450" s="74"/>
      <c r="C450" s="52"/>
      <c r="D450" s="52"/>
      <c r="E450" s="55"/>
    </row>
    <row r="451" spans="1:5" x14ac:dyDescent="0.25">
      <c r="A451" s="79">
        <f t="shared" si="6"/>
        <v>447</v>
      </c>
      <c r="B451" s="74"/>
      <c r="C451" s="52"/>
      <c r="D451" s="52"/>
      <c r="E451" s="55"/>
    </row>
    <row r="452" spans="1:5" x14ac:dyDescent="0.25">
      <c r="A452" s="79">
        <f t="shared" si="6"/>
        <v>448</v>
      </c>
      <c r="B452" s="74"/>
      <c r="C452" s="52"/>
      <c r="D452" s="52"/>
      <c r="E452" s="55"/>
    </row>
    <row r="453" spans="1:5" x14ac:dyDescent="0.25">
      <c r="A453" s="79">
        <f t="shared" ref="A453:A516" si="7">ROW()-4</f>
        <v>449</v>
      </c>
      <c r="B453" s="74"/>
      <c r="C453" s="52"/>
      <c r="D453" s="52"/>
      <c r="E453" s="55"/>
    </row>
    <row r="454" spans="1:5" x14ac:dyDescent="0.25">
      <c r="A454" s="79">
        <f t="shared" si="7"/>
        <v>450</v>
      </c>
      <c r="B454" s="74"/>
      <c r="C454" s="52"/>
      <c r="D454" s="52"/>
      <c r="E454" s="55"/>
    </row>
    <row r="455" spans="1:5" x14ac:dyDescent="0.25">
      <c r="A455" s="79">
        <f t="shared" si="7"/>
        <v>451</v>
      </c>
      <c r="B455" s="74"/>
      <c r="C455" s="52"/>
      <c r="D455" s="52"/>
      <c r="E455" s="55"/>
    </row>
    <row r="456" spans="1:5" x14ac:dyDescent="0.25">
      <c r="A456" s="79">
        <f t="shared" si="7"/>
        <v>452</v>
      </c>
      <c r="B456" s="74"/>
      <c r="C456" s="52"/>
      <c r="D456" s="52"/>
      <c r="E456" s="55"/>
    </row>
    <row r="457" spans="1:5" x14ac:dyDescent="0.25">
      <c r="A457" s="79">
        <f t="shared" si="7"/>
        <v>453</v>
      </c>
      <c r="B457" s="74"/>
      <c r="C457" s="52"/>
      <c r="D457" s="52"/>
      <c r="E457" s="55"/>
    </row>
    <row r="458" spans="1:5" x14ac:dyDescent="0.25">
      <c r="A458" s="79">
        <f t="shared" si="7"/>
        <v>454</v>
      </c>
      <c r="B458" s="74"/>
      <c r="C458" s="52"/>
      <c r="D458" s="52"/>
      <c r="E458" s="55"/>
    </row>
    <row r="459" spans="1:5" x14ac:dyDescent="0.25">
      <c r="A459" s="79">
        <f t="shared" si="7"/>
        <v>455</v>
      </c>
      <c r="B459" s="74"/>
      <c r="C459" s="52"/>
      <c r="D459" s="52"/>
      <c r="E459" s="55"/>
    </row>
    <row r="460" spans="1:5" x14ac:dyDescent="0.25">
      <c r="A460" s="79">
        <f t="shared" si="7"/>
        <v>456</v>
      </c>
      <c r="B460" s="74"/>
      <c r="C460" s="52"/>
      <c r="D460" s="52"/>
      <c r="E460" s="55"/>
    </row>
    <row r="461" spans="1:5" x14ac:dyDescent="0.25">
      <c r="A461" s="79">
        <f t="shared" si="7"/>
        <v>457</v>
      </c>
      <c r="B461" s="74"/>
      <c r="C461" s="52"/>
      <c r="D461" s="52"/>
      <c r="E461" s="55"/>
    </row>
    <row r="462" spans="1:5" x14ac:dyDescent="0.25">
      <c r="A462" s="79">
        <f t="shared" si="7"/>
        <v>458</v>
      </c>
      <c r="B462" s="74"/>
      <c r="C462" s="52"/>
      <c r="D462" s="52"/>
      <c r="E462" s="55"/>
    </row>
    <row r="463" spans="1:5" x14ac:dyDescent="0.25">
      <c r="A463" s="79">
        <f t="shared" si="7"/>
        <v>459</v>
      </c>
      <c r="B463" s="74"/>
      <c r="C463" s="52"/>
      <c r="D463" s="52"/>
      <c r="E463" s="55"/>
    </row>
    <row r="464" spans="1:5" x14ac:dyDescent="0.25">
      <c r="A464" s="79">
        <f t="shared" si="7"/>
        <v>460</v>
      </c>
      <c r="B464" s="74"/>
      <c r="C464" s="52"/>
      <c r="D464" s="52"/>
      <c r="E464" s="55"/>
    </row>
    <row r="465" spans="1:5" x14ac:dyDescent="0.25">
      <c r="A465" s="79">
        <f t="shared" si="7"/>
        <v>461</v>
      </c>
      <c r="B465" s="74"/>
      <c r="C465" s="52"/>
      <c r="D465" s="52"/>
      <c r="E465" s="55"/>
    </row>
    <row r="466" spans="1:5" x14ac:dyDescent="0.25">
      <c r="A466" s="79">
        <f t="shared" si="7"/>
        <v>462</v>
      </c>
      <c r="B466" s="74"/>
      <c r="C466" s="52"/>
      <c r="D466" s="52"/>
      <c r="E466" s="55"/>
    </row>
    <row r="467" spans="1:5" x14ac:dyDescent="0.25">
      <c r="A467" s="79">
        <f t="shared" si="7"/>
        <v>463</v>
      </c>
      <c r="B467" s="74"/>
      <c r="C467" s="52"/>
      <c r="D467" s="52"/>
      <c r="E467" s="55"/>
    </row>
    <row r="468" spans="1:5" x14ac:dyDescent="0.25">
      <c r="A468" s="79">
        <f t="shared" si="7"/>
        <v>464</v>
      </c>
      <c r="B468" s="74"/>
      <c r="C468" s="52"/>
      <c r="D468" s="52"/>
      <c r="E468" s="55"/>
    </row>
    <row r="469" spans="1:5" x14ac:dyDescent="0.25">
      <c r="A469" s="79">
        <f t="shared" si="7"/>
        <v>465</v>
      </c>
      <c r="B469" s="74"/>
      <c r="C469" s="52"/>
      <c r="D469" s="52"/>
      <c r="E469" s="55"/>
    </row>
    <row r="470" spans="1:5" x14ac:dyDescent="0.25">
      <c r="A470" s="79">
        <f t="shared" si="7"/>
        <v>466</v>
      </c>
      <c r="B470" s="74"/>
      <c r="C470" s="52"/>
      <c r="D470" s="52"/>
      <c r="E470" s="55"/>
    </row>
    <row r="471" spans="1:5" x14ac:dyDescent="0.25">
      <c r="A471" s="79">
        <f t="shared" si="7"/>
        <v>467</v>
      </c>
      <c r="B471" s="74"/>
      <c r="C471" s="52"/>
      <c r="D471" s="52"/>
      <c r="E471" s="55"/>
    </row>
    <row r="472" spans="1:5" x14ac:dyDescent="0.25">
      <c r="A472" s="79">
        <f t="shared" si="7"/>
        <v>468</v>
      </c>
      <c r="B472" s="74"/>
      <c r="C472" s="52"/>
      <c r="D472" s="52"/>
      <c r="E472" s="55"/>
    </row>
    <row r="473" spans="1:5" x14ac:dyDescent="0.25">
      <c r="A473" s="79">
        <f t="shared" si="7"/>
        <v>469</v>
      </c>
      <c r="B473" s="74"/>
      <c r="C473" s="52"/>
      <c r="D473" s="52"/>
      <c r="E473" s="55"/>
    </row>
    <row r="474" spans="1:5" x14ac:dyDescent="0.25">
      <c r="A474" s="79">
        <f t="shared" si="7"/>
        <v>470</v>
      </c>
      <c r="B474" s="74"/>
      <c r="C474" s="52"/>
      <c r="D474" s="52"/>
      <c r="E474" s="55"/>
    </row>
    <row r="475" spans="1:5" x14ac:dyDescent="0.25">
      <c r="A475" s="79">
        <f t="shared" si="7"/>
        <v>471</v>
      </c>
      <c r="B475" s="74"/>
      <c r="C475" s="52"/>
      <c r="D475" s="52"/>
      <c r="E475" s="55"/>
    </row>
    <row r="476" spans="1:5" x14ac:dyDescent="0.25">
      <c r="A476" s="79">
        <f t="shared" si="7"/>
        <v>472</v>
      </c>
      <c r="B476" s="74"/>
      <c r="C476" s="52"/>
      <c r="D476" s="52"/>
      <c r="E476" s="55"/>
    </row>
    <row r="477" spans="1:5" x14ac:dyDescent="0.25">
      <c r="A477" s="79">
        <f t="shared" si="7"/>
        <v>473</v>
      </c>
      <c r="B477" s="74"/>
      <c r="C477" s="52"/>
      <c r="D477" s="52"/>
      <c r="E477" s="55"/>
    </row>
    <row r="478" spans="1:5" x14ac:dyDescent="0.25">
      <c r="A478" s="79">
        <f t="shared" si="7"/>
        <v>474</v>
      </c>
      <c r="B478" s="74"/>
      <c r="C478" s="52"/>
      <c r="D478" s="52"/>
      <c r="E478" s="55"/>
    </row>
    <row r="479" spans="1:5" x14ac:dyDescent="0.25">
      <c r="A479" s="79">
        <f t="shared" si="7"/>
        <v>475</v>
      </c>
      <c r="B479" s="74"/>
      <c r="C479" s="52"/>
      <c r="D479" s="52"/>
      <c r="E479" s="55"/>
    </row>
    <row r="480" spans="1:5" x14ac:dyDescent="0.25">
      <c r="A480" s="79">
        <f t="shared" si="7"/>
        <v>476</v>
      </c>
      <c r="B480" s="74"/>
      <c r="C480" s="52"/>
      <c r="D480" s="52"/>
      <c r="E480" s="55"/>
    </row>
    <row r="481" spans="1:5" x14ac:dyDescent="0.25">
      <c r="A481" s="79">
        <f t="shared" si="7"/>
        <v>477</v>
      </c>
      <c r="B481" s="74"/>
      <c r="C481" s="52"/>
      <c r="D481" s="52"/>
      <c r="E481" s="55"/>
    </row>
    <row r="482" spans="1:5" x14ac:dyDescent="0.25">
      <c r="A482" s="79">
        <f t="shared" si="7"/>
        <v>478</v>
      </c>
      <c r="B482" s="74"/>
      <c r="C482" s="52"/>
      <c r="D482" s="52"/>
      <c r="E482" s="55"/>
    </row>
    <row r="483" spans="1:5" x14ac:dyDescent="0.25">
      <c r="A483" s="79">
        <f t="shared" si="7"/>
        <v>479</v>
      </c>
      <c r="B483" s="74"/>
      <c r="C483" s="52"/>
      <c r="D483" s="52"/>
      <c r="E483" s="55"/>
    </row>
    <row r="484" spans="1:5" x14ac:dyDescent="0.25">
      <c r="A484" s="79">
        <f t="shared" si="7"/>
        <v>480</v>
      </c>
      <c r="B484" s="74"/>
      <c r="C484" s="52"/>
      <c r="D484" s="52"/>
      <c r="E484" s="55"/>
    </row>
    <row r="485" spans="1:5" x14ac:dyDescent="0.25">
      <c r="A485" s="79">
        <f t="shared" si="7"/>
        <v>481</v>
      </c>
      <c r="B485" s="74"/>
      <c r="C485" s="52"/>
      <c r="D485" s="52"/>
      <c r="E485" s="55"/>
    </row>
    <row r="486" spans="1:5" x14ac:dyDescent="0.25">
      <c r="A486" s="79">
        <f t="shared" si="7"/>
        <v>482</v>
      </c>
      <c r="B486" s="74"/>
      <c r="C486" s="52"/>
      <c r="D486" s="52"/>
      <c r="E486" s="55"/>
    </row>
    <row r="487" spans="1:5" x14ac:dyDescent="0.25">
      <c r="A487" s="79">
        <f t="shared" si="7"/>
        <v>483</v>
      </c>
      <c r="B487" s="74"/>
      <c r="C487" s="52"/>
      <c r="D487" s="52"/>
      <c r="E487" s="55"/>
    </row>
    <row r="488" spans="1:5" x14ac:dyDescent="0.25">
      <c r="A488" s="79">
        <f t="shared" si="7"/>
        <v>484</v>
      </c>
      <c r="B488" s="74"/>
      <c r="C488" s="52"/>
      <c r="D488" s="52"/>
      <c r="E488" s="55"/>
    </row>
    <row r="489" spans="1:5" x14ac:dyDescent="0.25">
      <c r="A489" s="79">
        <f t="shared" si="7"/>
        <v>485</v>
      </c>
      <c r="B489" s="74"/>
      <c r="C489" s="52"/>
      <c r="D489" s="52"/>
      <c r="E489" s="55"/>
    </row>
    <row r="490" spans="1:5" x14ac:dyDescent="0.25">
      <c r="A490" s="79">
        <f t="shared" si="7"/>
        <v>486</v>
      </c>
      <c r="B490" s="74"/>
      <c r="C490" s="52"/>
      <c r="D490" s="52"/>
      <c r="E490" s="55"/>
    </row>
    <row r="491" spans="1:5" x14ac:dyDescent="0.25">
      <c r="A491" s="79">
        <f t="shared" si="7"/>
        <v>487</v>
      </c>
      <c r="B491" s="74"/>
      <c r="C491" s="52"/>
      <c r="D491" s="52"/>
      <c r="E491" s="55"/>
    </row>
    <row r="492" spans="1:5" x14ac:dyDescent="0.25">
      <c r="A492" s="79">
        <f t="shared" si="7"/>
        <v>488</v>
      </c>
      <c r="B492" s="74"/>
      <c r="C492" s="52"/>
      <c r="D492" s="52"/>
      <c r="E492" s="55"/>
    </row>
    <row r="493" spans="1:5" x14ac:dyDescent="0.25">
      <c r="A493" s="79">
        <f t="shared" si="7"/>
        <v>489</v>
      </c>
      <c r="B493" s="74"/>
      <c r="C493" s="52"/>
      <c r="D493" s="52"/>
      <c r="E493" s="55"/>
    </row>
    <row r="494" spans="1:5" x14ac:dyDescent="0.25">
      <c r="A494" s="79">
        <f t="shared" si="7"/>
        <v>490</v>
      </c>
      <c r="B494" s="74"/>
      <c r="C494" s="52"/>
      <c r="D494" s="52"/>
      <c r="E494" s="55"/>
    </row>
    <row r="495" spans="1:5" x14ac:dyDescent="0.25">
      <c r="A495" s="79">
        <f t="shared" si="7"/>
        <v>491</v>
      </c>
      <c r="B495" s="74"/>
      <c r="C495" s="52"/>
      <c r="D495" s="52"/>
      <c r="E495" s="55"/>
    </row>
    <row r="496" spans="1:5" x14ac:dyDescent="0.25">
      <c r="A496" s="79">
        <f t="shared" si="7"/>
        <v>492</v>
      </c>
      <c r="B496" s="74"/>
      <c r="C496" s="52"/>
      <c r="D496" s="52"/>
      <c r="E496" s="55"/>
    </row>
    <row r="497" spans="1:5" x14ac:dyDescent="0.25">
      <c r="A497" s="79">
        <f t="shared" si="7"/>
        <v>493</v>
      </c>
      <c r="B497" s="74"/>
      <c r="C497" s="52"/>
      <c r="D497" s="52"/>
      <c r="E497" s="55"/>
    </row>
    <row r="498" spans="1:5" x14ac:dyDescent="0.25">
      <c r="A498" s="79">
        <f t="shared" si="7"/>
        <v>494</v>
      </c>
      <c r="B498" s="74"/>
      <c r="C498" s="52"/>
      <c r="D498" s="52"/>
      <c r="E498" s="55"/>
    </row>
    <row r="499" spans="1:5" x14ac:dyDescent="0.25">
      <c r="A499" s="79">
        <f t="shared" si="7"/>
        <v>495</v>
      </c>
      <c r="B499" s="74"/>
      <c r="C499" s="52"/>
      <c r="D499" s="52"/>
      <c r="E499" s="55"/>
    </row>
    <row r="500" spans="1:5" x14ac:dyDescent="0.25">
      <c r="A500" s="79">
        <f t="shared" si="7"/>
        <v>496</v>
      </c>
      <c r="B500" s="74"/>
      <c r="C500" s="52"/>
      <c r="D500" s="52"/>
      <c r="E500" s="55"/>
    </row>
    <row r="501" spans="1:5" x14ac:dyDescent="0.25">
      <c r="A501" s="79">
        <f t="shared" si="7"/>
        <v>497</v>
      </c>
      <c r="B501" s="74"/>
      <c r="C501" s="52"/>
      <c r="D501" s="52"/>
      <c r="E501" s="55"/>
    </row>
    <row r="502" spans="1:5" x14ac:dyDescent="0.25">
      <c r="A502" s="79">
        <f t="shared" si="7"/>
        <v>498</v>
      </c>
      <c r="B502" s="74"/>
      <c r="C502" s="52"/>
      <c r="D502" s="52"/>
      <c r="E502" s="55"/>
    </row>
    <row r="503" spans="1:5" x14ac:dyDescent="0.25">
      <c r="A503" s="79">
        <f t="shared" si="7"/>
        <v>499</v>
      </c>
      <c r="B503" s="74"/>
      <c r="C503" s="52"/>
      <c r="D503" s="52"/>
      <c r="E503" s="55"/>
    </row>
    <row r="504" spans="1:5" x14ac:dyDescent="0.25">
      <c r="A504" s="79">
        <f t="shared" si="7"/>
        <v>500</v>
      </c>
      <c r="B504" s="74"/>
      <c r="C504" s="52"/>
      <c r="D504" s="52"/>
      <c r="E504" s="55"/>
    </row>
    <row r="505" spans="1:5" x14ac:dyDescent="0.25">
      <c r="A505" s="79">
        <f t="shared" si="7"/>
        <v>501</v>
      </c>
      <c r="B505" s="74"/>
      <c r="C505" s="52"/>
      <c r="D505" s="52"/>
      <c r="E505" s="55"/>
    </row>
    <row r="506" spans="1:5" x14ac:dyDescent="0.25">
      <c r="A506" s="79">
        <f t="shared" si="7"/>
        <v>502</v>
      </c>
      <c r="B506" s="74"/>
      <c r="C506" s="52"/>
      <c r="D506" s="52"/>
      <c r="E506" s="55"/>
    </row>
    <row r="507" spans="1:5" x14ac:dyDescent="0.25">
      <c r="A507" s="79">
        <f t="shared" si="7"/>
        <v>503</v>
      </c>
      <c r="B507" s="74"/>
      <c r="C507" s="52"/>
      <c r="D507" s="52"/>
      <c r="E507" s="55"/>
    </row>
    <row r="508" spans="1:5" x14ac:dyDescent="0.25">
      <c r="A508" s="79">
        <f t="shared" si="7"/>
        <v>504</v>
      </c>
      <c r="B508" s="74"/>
      <c r="C508" s="52"/>
      <c r="D508" s="52"/>
      <c r="E508" s="55"/>
    </row>
    <row r="509" spans="1:5" x14ac:dyDescent="0.25">
      <c r="A509" s="79">
        <f t="shared" si="7"/>
        <v>505</v>
      </c>
      <c r="B509" s="74"/>
      <c r="C509" s="52"/>
      <c r="D509" s="52"/>
      <c r="E509" s="55"/>
    </row>
    <row r="510" spans="1:5" x14ac:dyDescent="0.25">
      <c r="A510" s="79">
        <f t="shared" si="7"/>
        <v>506</v>
      </c>
      <c r="B510" s="74"/>
      <c r="C510" s="52"/>
      <c r="D510" s="52"/>
      <c r="E510" s="55"/>
    </row>
    <row r="511" spans="1:5" x14ac:dyDescent="0.25">
      <c r="A511" s="79">
        <f t="shared" si="7"/>
        <v>507</v>
      </c>
      <c r="B511" s="74"/>
      <c r="C511" s="52"/>
      <c r="D511" s="52"/>
      <c r="E511" s="55"/>
    </row>
    <row r="512" spans="1:5" x14ac:dyDescent="0.25">
      <c r="A512" s="79">
        <f t="shared" si="7"/>
        <v>508</v>
      </c>
      <c r="B512" s="74"/>
      <c r="C512" s="52"/>
      <c r="D512" s="52"/>
      <c r="E512" s="55"/>
    </row>
    <row r="513" spans="1:5" x14ac:dyDescent="0.25">
      <c r="A513" s="79">
        <f t="shared" si="7"/>
        <v>509</v>
      </c>
      <c r="B513" s="74"/>
      <c r="C513" s="52"/>
      <c r="D513" s="52"/>
      <c r="E513" s="55"/>
    </row>
    <row r="514" spans="1:5" x14ac:dyDescent="0.25">
      <c r="A514" s="79">
        <f t="shared" si="7"/>
        <v>510</v>
      </c>
      <c r="B514" s="74"/>
      <c r="C514" s="52"/>
      <c r="D514" s="52"/>
      <c r="E514" s="55"/>
    </row>
    <row r="515" spans="1:5" x14ac:dyDescent="0.25">
      <c r="A515" s="79">
        <f t="shared" si="7"/>
        <v>511</v>
      </c>
      <c r="B515" s="74"/>
      <c r="C515" s="52"/>
      <c r="D515" s="52"/>
      <c r="E515" s="55"/>
    </row>
    <row r="516" spans="1:5" x14ac:dyDescent="0.25">
      <c r="A516" s="79">
        <f t="shared" si="7"/>
        <v>512</v>
      </c>
      <c r="B516" s="74"/>
      <c r="C516" s="52"/>
      <c r="D516" s="52"/>
      <c r="E516" s="55"/>
    </row>
    <row r="517" spans="1:5" x14ac:dyDescent="0.25">
      <c r="A517" s="79">
        <f t="shared" ref="A517:A580" si="8">ROW()-4</f>
        <v>513</v>
      </c>
      <c r="B517" s="74"/>
      <c r="C517" s="52"/>
      <c r="D517" s="52"/>
      <c r="E517" s="55"/>
    </row>
    <row r="518" spans="1:5" x14ac:dyDescent="0.25">
      <c r="A518" s="79">
        <f t="shared" si="8"/>
        <v>514</v>
      </c>
      <c r="B518" s="74"/>
      <c r="C518" s="52"/>
      <c r="D518" s="52"/>
      <c r="E518" s="55"/>
    </row>
    <row r="519" spans="1:5" x14ac:dyDescent="0.25">
      <c r="A519" s="79">
        <f t="shared" si="8"/>
        <v>515</v>
      </c>
      <c r="B519" s="74"/>
      <c r="C519" s="52"/>
      <c r="D519" s="52"/>
      <c r="E519" s="55"/>
    </row>
    <row r="520" spans="1:5" x14ac:dyDescent="0.25">
      <c r="A520" s="79">
        <f t="shared" si="8"/>
        <v>516</v>
      </c>
      <c r="B520" s="74"/>
      <c r="C520" s="52"/>
      <c r="D520" s="52"/>
      <c r="E520" s="55"/>
    </row>
    <row r="521" spans="1:5" x14ac:dyDescent="0.25">
      <c r="A521" s="79">
        <f t="shared" si="8"/>
        <v>517</v>
      </c>
      <c r="B521" s="74"/>
      <c r="C521" s="52"/>
      <c r="D521" s="52"/>
      <c r="E521" s="55"/>
    </row>
    <row r="522" spans="1:5" x14ac:dyDescent="0.25">
      <c r="A522" s="79">
        <f t="shared" si="8"/>
        <v>518</v>
      </c>
      <c r="B522" s="74"/>
      <c r="C522" s="52"/>
      <c r="D522" s="52"/>
      <c r="E522" s="55"/>
    </row>
    <row r="523" spans="1:5" x14ac:dyDescent="0.25">
      <c r="A523" s="79">
        <f t="shared" si="8"/>
        <v>519</v>
      </c>
      <c r="B523" s="74"/>
      <c r="C523" s="52"/>
      <c r="D523" s="52"/>
      <c r="E523" s="55"/>
    </row>
    <row r="524" spans="1:5" x14ac:dyDescent="0.25">
      <c r="A524" s="79">
        <f t="shared" si="8"/>
        <v>520</v>
      </c>
      <c r="B524" s="74"/>
      <c r="C524" s="52"/>
      <c r="D524" s="52"/>
      <c r="E524" s="55"/>
    </row>
    <row r="525" spans="1:5" x14ac:dyDescent="0.25">
      <c r="A525" s="79">
        <f t="shared" si="8"/>
        <v>521</v>
      </c>
      <c r="B525" s="74"/>
      <c r="C525" s="52"/>
      <c r="D525" s="52"/>
      <c r="E525" s="55"/>
    </row>
    <row r="526" spans="1:5" x14ac:dyDescent="0.25">
      <c r="A526" s="79">
        <f t="shared" si="8"/>
        <v>522</v>
      </c>
      <c r="B526" s="74"/>
      <c r="C526" s="52"/>
      <c r="D526" s="52"/>
      <c r="E526" s="55"/>
    </row>
    <row r="527" spans="1:5" x14ac:dyDescent="0.25">
      <c r="A527" s="79">
        <f t="shared" si="8"/>
        <v>523</v>
      </c>
      <c r="B527" s="74"/>
      <c r="C527" s="52"/>
      <c r="D527" s="52"/>
      <c r="E527" s="55"/>
    </row>
    <row r="528" spans="1:5" x14ac:dyDescent="0.25">
      <c r="A528" s="79">
        <f t="shared" si="8"/>
        <v>524</v>
      </c>
      <c r="B528" s="74"/>
      <c r="C528" s="52"/>
      <c r="D528" s="52"/>
      <c r="E528" s="55"/>
    </row>
    <row r="529" spans="1:5" x14ac:dyDescent="0.25">
      <c r="A529" s="79">
        <f t="shared" si="8"/>
        <v>525</v>
      </c>
      <c r="B529" s="74"/>
      <c r="C529" s="52"/>
      <c r="D529" s="52"/>
      <c r="E529" s="55"/>
    </row>
    <row r="530" spans="1:5" x14ac:dyDescent="0.25">
      <c r="A530" s="79">
        <f t="shared" si="8"/>
        <v>526</v>
      </c>
      <c r="B530" s="74"/>
      <c r="C530" s="52"/>
      <c r="D530" s="52"/>
      <c r="E530" s="55"/>
    </row>
    <row r="531" spans="1:5" x14ac:dyDescent="0.25">
      <c r="A531" s="79">
        <f t="shared" si="8"/>
        <v>527</v>
      </c>
      <c r="B531" s="74"/>
      <c r="C531" s="52"/>
      <c r="D531" s="52"/>
      <c r="E531" s="55"/>
    </row>
    <row r="532" spans="1:5" x14ac:dyDescent="0.25">
      <c r="A532" s="79">
        <f t="shared" si="8"/>
        <v>528</v>
      </c>
      <c r="B532" s="74"/>
      <c r="C532" s="52"/>
      <c r="D532" s="52"/>
      <c r="E532" s="55"/>
    </row>
    <row r="533" spans="1:5" x14ac:dyDescent="0.25">
      <c r="A533" s="79">
        <f t="shared" si="8"/>
        <v>529</v>
      </c>
      <c r="B533" s="74"/>
      <c r="C533" s="52"/>
      <c r="D533" s="52"/>
      <c r="E533" s="55"/>
    </row>
    <row r="534" spans="1:5" x14ac:dyDescent="0.25">
      <c r="A534" s="79">
        <f t="shared" si="8"/>
        <v>530</v>
      </c>
      <c r="B534" s="74"/>
      <c r="C534" s="52"/>
      <c r="D534" s="52"/>
      <c r="E534" s="55"/>
    </row>
    <row r="535" spans="1:5" x14ac:dyDescent="0.25">
      <c r="A535" s="79">
        <f t="shared" si="8"/>
        <v>531</v>
      </c>
      <c r="B535" s="74"/>
      <c r="C535" s="52"/>
      <c r="D535" s="52"/>
      <c r="E535" s="55"/>
    </row>
    <row r="536" spans="1:5" x14ac:dyDescent="0.25">
      <c r="A536" s="79">
        <f t="shared" si="8"/>
        <v>532</v>
      </c>
      <c r="B536" s="74"/>
      <c r="C536" s="52"/>
      <c r="D536" s="52"/>
      <c r="E536" s="55"/>
    </row>
    <row r="537" spans="1:5" x14ac:dyDescent="0.25">
      <c r="A537" s="79">
        <f t="shared" si="8"/>
        <v>533</v>
      </c>
      <c r="B537" s="74"/>
      <c r="C537" s="52"/>
      <c r="D537" s="52"/>
      <c r="E537" s="55"/>
    </row>
    <row r="538" spans="1:5" x14ac:dyDescent="0.25">
      <c r="A538" s="79">
        <f t="shared" si="8"/>
        <v>534</v>
      </c>
      <c r="B538" s="74"/>
      <c r="C538" s="52"/>
      <c r="D538" s="52"/>
      <c r="E538" s="55"/>
    </row>
    <row r="539" spans="1:5" x14ac:dyDescent="0.25">
      <c r="A539" s="79">
        <f t="shared" si="8"/>
        <v>535</v>
      </c>
      <c r="B539" s="74"/>
      <c r="C539" s="52"/>
      <c r="D539" s="52"/>
      <c r="E539" s="55"/>
    </row>
    <row r="540" spans="1:5" x14ac:dyDescent="0.25">
      <c r="A540" s="79">
        <f t="shared" si="8"/>
        <v>536</v>
      </c>
      <c r="B540" s="74"/>
      <c r="C540" s="52"/>
      <c r="D540" s="52"/>
      <c r="E540" s="55"/>
    </row>
    <row r="541" spans="1:5" x14ac:dyDescent="0.25">
      <c r="A541" s="79">
        <f t="shared" si="8"/>
        <v>537</v>
      </c>
      <c r="B541" s="74"/>
      <c r="C541" s="52"/>
      <c r="D541" s="52"/>
      <c r="E541" s="55"/>
    </row>
    <row r="542" spans="1:5" x14ac:dyDescent="0.25">
      <c r="A542" s="79">
        <f t="shared" si="8"/>
        <v>538</v>
      </c>
      <c r="B542" s="74"/>
      <c r="C542" s="52"/>
      <c r="D542" s="52"/>
      <c r="E542" s="55"/>
    </row>
    <row r="543" spans="1:5" x14ac:dyDescent="0.25">
      <c r="A543" s="79">
        <f t="shared" si="8"/>
        <v>539</v>
      </c>
      <c r="B543" s="74"/>
      <c r="C543" s="52"/>
      <c r="D543" s="52"/>
      <c r="E543" s="55"/>
    </row>
    <row r="544" spans="1:5" x14ac:dyDescent="0.25">
      <c r="A544" s="79">
        <f t="shared" si="8"/>
        <v>540</v>
      </c>
      <c r="B544" s="74"/>
      <c r="C544" s="52"/>
      <c r="D544" s="52"/>
      <c r="E544" s="55"/>
    </row>
    <row r="545" spans="1:5" x14ac:dyDescent="0.25">
      <c r="A545" s="79">
        <f t="shared" si="8"/>
        <v>541</v>
      </c>
      <c r="B545" s="74"/>
      <c r="C545" s="52"/>
      <c r="D545" s="52"/>
      <c r="E545" s="55"/>
    </row>
    <row r="546" spans="1:5" x14ac:dyDescent="0.25">
      <c r="A546" s="79">
        <f t="shared" si="8"/>
        <v>542</v>
      </c>
      <c r="B546" s="74"/>
      <c r="C546" s="52"/>
      <c r="D546" s="52"/>
      <c r="E546" s="55"/>
    </row>
    <row r="547" spans="1:5" x14ac:dyDescent="0.25">
      <c r="A547" s="79">
        <f t="shared" si="8"/>
        <v>543</v>
      </c>
      <c r="B547" s="74"/>
      <c r="C547" s="52"/>
      <c r="D547" s="52"/>
      <c r="E547" s="55"/>
    </row>
    <row r="548" spans="1:5" x14ac:dyDescent="0.25">
      <c r="A548" s="79">
        <f t="shared" si="8"/>
        <v>544</v>
      </c>
      <c r="B548" s="74"/>
      <c r="C548" s="52"/>
      <c r="D548" s="52"/>
      <c r="E548" s="55"/>
    </row>
    <row r="549" spans="1:5" x14ac:dyDescent="0.25">
      <c r="A549" s="79">
        <f t="shared" si="8"/>
        <v>545</v>
      </c>
      <c r="B549" s="74"/>
      <c r="C549" s="52"/>
      <c r="D549" s="52"/>
      <c r="E549" s="55"/>
    </row>
    <row r="550" spans="1:5" x14ac:dyDescent="0.25">
      <c r="A550" s="79">
        <f t="shared" si="8"/>
        <v>546</v>
      </c>
      <c r="B550" s="74"/>
      <c r="C550" s="52"/>
      <c r="D550" s="52"/>
      <c r="E550" s="55"/>
    </row>
    <row r="551" spans="1:5" x14ac:dyDescent="0.25">
      <c r="A551" s="79">
        <f t="shared" si="8"/>
        <v>547</v>
      </c>
      <c r="B551" s="74"/>
      <c r="C551" s="52"/>
      <c r="D551" s="52"/>
      <c r="E551" s="55"/>
    </row>
    <row r="552" spans="1:5" x14ac:dyDescent="0.25">
      <c r="A552" s="79">
        <f t="shared" si="8"/>
        <v>548</v>
      </c>
      <c r="B552" s="74"/>
      <c r="C552" s="52"/>
      <c r="D552" s="52"/>
      <c r="E552" s="55"/>
    </row>
    <row r="553" spans="1:5" x14ac:dyDescent="0.25">
      <c r="A553" s="79">
        <f t="shared" si="8"/>
        <v>549</v>
      </c>
      <c r="B553" s="74"/>
      <c r="C553" s="52"/>
      <c r="D553" s="52"/>
      <c r="E553" s="55"/>
    </row>
    <row r="554" spans="1:5" x14ac:dyDescent="0.25">
      <c r="A554" s="79">
        <f t="shared" si="8"/>
        <v>550</v>
      </c>
      <c r="B554" s="74"/>
      <c r="C554" s="52"/>
      <c r="D554" s="52"/>
      <c r="E554" s="55"/>
    </row>
    <row r="555" spans="1:5" x14ac:dyDescent="0.25">
      <c r="A555" s="79">
        <f t="shared" si="8"/>
        <v>551</v>
      </c>
      <c r="B555" s="74"/>
      <c r="C555" s="52"/>
      <c r="D555" s="52"/>
      <c r="E555" s="55"/>
    </row>
    <row r="556" spans="1:5" x14ac:dyDescent="0.25">
      <c r="A556" s="79">
        <f t="shared" si="8"/>
        <v>552</v>
      </c>
      <c r="B556" s="74"/>
      <c r="C556" s="52"/>
      <c r="D556" s="52"/>
      <c r="E556" s="55"/>
    </row>
    <row r="557" spans="1:5" x14ac:dyDescent="0.25">
      <c r="A557" s="79">
        <f t="shared" si="8"/>
        <v>553</v>
      </c>
      <c r="B557" s="74"/>
      <c r="C557" s="52"/>
      <c r="D557" s="52"/>
      <c r="E557" s="55"/>
    </row>
    <row r="558" spans="1:5" x14ac:dyDescent="0.25">
      <c r="A558" s="79">
        <f t="shared" si="8"/>
        <v>554</v>
      </c>
      <c r="B558" s="74"/>
      <c r="C558" s="52"/>
      <c r="D558" s="52"/>
      <c r="E558" s="55"/>
    </row>
    <row r="559" spans="1:5" x14ac:dyDescent="0.25">
      <c r="A559" s="79">
        <f t="shared" si="8"/>
        <v>555</v>
      </c>
      <c r="B559" s="74"/>
      <c r="C559" s="52"/>
      <c r="D559" s="52"/>
      <c r="E559" s="55"/>
    </row>
    <row r="560" spans="1:5" x14ac:dyDescent="0.25">
      <c r="A560" s="79">
        <f t="shared" si="8"/>
        <v>556</v>
      </c>
      <c r="B560" s="74"/>
      <c r="C560" s="52"/>
      <c r="D560" s="52"/>
      <c r="E560" s="55"/>
    </row>
    <row r="561" spans="1:5" x14ac:dyDescent="0.25">
      <c r="A561" s="79">
        <f t="shared" si="8"/>
        <v>557</v>
      </c>
      <c r="B561" s="74"/>
      <c r="C561" s="52"/>
      <c r="D561" s="52"/>
      <c r="E561" s="55"/>
    </row>
    <row r="562" spans="1:5" x14ac:dyDescent="0.25">
      <c r="A562" s="79">
        <f t="shared" si="8"/>
        <v>558</v>
      </c>
      <c r="B562" s="74"/>
      <c r="C562" s="52"/>
      <c r="D562" s="52"/>
      <c r="E562" s="55"/>
    </row>
    <row r="563" spans="1:5" x14ac:dyDescent="0.25">
      <c r="A563" s="79">
        <f t="shared" si="8"/>
        <v>559</v>
      </c>
      <c r="B563" s="74"/>
      <c r="C563" s="52"/>
      <c r="D563" s="52"/>
      <c r="E563" s="55"/>
    </row>
    <row r="564" spans="1:5" x14ac:dyDescent="0.25">
      <c r="A564" s="79">
        <f t="shared" si="8"/>
        <v>560</v>
      </c>
      <c r="B564" s="74"/>
      <c r="C564" s="52"/>
      <c r="D564" s="52"/>
      <c r="E564" s="55"/>
    </row>
    <row r="565" spans="1:5" x14ac:dyDescent="0.25">
      <c r="A565" s="79">
        <f t="shared" si="8"/>
        <v>561</v>
      </c>
      <c r="B565" s="74"/>
      <c r="C565" s="52"/>
      <c r="D565" s="52"/>
      <c r="E565" s="55"/>
    </row>
    <row r="566" spans="1:5" x14ac:dyDescent="0.25">
      <c r="A566" s="79">
        <f t="shared" si="8"/>
        <v>562</v>
      </c>
      <c r="B566" s="74"/>
      <c r="C566" s="52"/>
      <c r="D566" s="52"/>
      <c r="E566" s="55"/>
    </row>
    <row r="567" spans="1:5" x14ac:dyDescent="0.25">
      <c r="A567" s="79">
        <f t="shared" si="8"/>
        <v>563</v>
      </c>
      <c r="B567" s="74"/>
      <c r="C567" s="52"/>
      <c r="D567" s="52"/>
      <c r="E567" s="55"/>
    </row>
    <row r="568" spans="1:5" x14ac:dyDescent="0.25">
      <c r="A568" s="79">
        <f t="shared" si="8"/>
        <v>564</v>
      </c>
      <c r="B568" s="74"/>
      <c r="C568" s="52"/>
      <c r="D568" s="52"/>
      <c r="E568" s="55"/>
    </row>
    <row r="569" spans="1:5" x14ac:dyDescent="0.25">
      <c r="A569" s="79">
        <f t="shared" si="8"/>
        <v>565</v>
      </c>
      <c r="B569" s="74"/>
      <c r="C569" s="52"/>
      <c r="D569" s="52"/>
      <c r="E569" s="55"/>
    </row>
    <row r="570" spans="1:5" x14ac:dyDescent="0.25">
      <c r="A570" s="79">
        <f t="shared" si="8"/>
        <v>566</v>
      </c>
      <c r="B570" s="74"/>
      <c r="C570" s="52"/>
      <c r="D570" s="52"/>
      <c r="E570" s="55"/>
    </row>
    <row r="571" spans="1:5" x14ac:dyDescent="0.25">
      <c r="A571" s="79">
        <f t="shared" si="8"/>
        <v>567</v>
      </c>
      <c r="B571" s="74"/>
      <c r="C571" s="52"/>
      <c r="D571" s="52"/>
      <c r="E571" s="55"/>
    </row>
    <row r="572" spans="1:5" x14ac:dyDescent="0.25">
      <c r="A572" s="79">
        <f t="shared" si="8"/>
        <v>568</v>
      </c>
      <c r="B572" s="74"/>
      <c r="C572" s="52"/>
      <c r="D572" s="52"/>
      <c r="E572" s="55"/>
    </row>
    <row r="573" spans="1:5" x14ac:dyDescent="0.25">
      <c r="A573" s="79">
        <f t="shared" si="8"/>
        <v>569</v>
      </c>
      <c r="B573" s="74"/>
      <c r="C573" s="52"/>
      <c r="D573" s="52"/>
      <c r="E573" s="55"/>
    </row>
    <row r="574" spans="1:5" x14ac:dyDescent="0.25">
      <c r="A574" s="79">
        <f t="shared" si="8"/>
        <v>570</v>
      </c>
      <c r="B574" s="74"/>
      <c r="C574" s="52"/>
      <c r="D574" s="52"/>
      <c r="E574" s="55"/>
    </row>
    <row r="575" spans="1:5" x14ac:dyDescent="0.25">
      <c r="A575" s="79">
        <f t="shared" si="8"/>
        <v>571</v>
      </c>
      <c r="B575" s="74"/>
      <c r="C575" s="52"/>
      <c r="D575" s="52"/>
      <c r="E575" s="55"/>
    </row>
    <row r="576" spans="1:5" x14ac:dyDescent="0.25">
      <c r="A576" s="79">
        <f t="shared" si="8"/>
        <v>572</v>
      </c>
      <c r="B576" s="74"/>
      <c r="C576" s="52"/>
      <c r="D576" s="52"/>
      <c r="E576" s="55"/>
    </row>
    <row r="577" spans="1:5" x14ac:dyDescent="0.25">
      <c r="A577" s="79">
        <f t="shared" si="8"/>
        <v>573</v>
      </c>
      <c r="B577" s="74"/>
      <c r="C577" s="52"/>
      <c r="D577" s="52"/>
      <c r="E577" s="55"/>
    </row>
    <row r="578" spans="1:5" x14ac:dyDescent="0.25">
      <c r="A578" s="79">
        <f t="shared" si="8"/>
        <v>574</v>
      </c>
      <c r="B578" s="74"/>
      <c r="C578" s="52"/>
      <c r="D578" s="52"/>
      <c r="E578" s="55"/>
    </row>
    <row r="579" spans="1:5" x14ac:dyDescent="0.25">
      <c r="A579" s="79">
        <f t="shared" si="8"/>
        <v>575</v>
      </c>
      <c r="B579" s="74"/>
      <c r="C579" s="52"/>
      <c r="D579" s="52"/>
      <c r="E579" s="55"/>
    </row>
    <row r="580" spans="1:5" x14ac:dyDescent="0.25">
      <c r="A580" s="79">
        <f t="shared" si="8"/>
        <v>576</v>
      </c>
      <c r="B580" s="74"/>
      <c r="C580" s="52"/>
      <c r="D580" s="52"/>
      <c r="E580" s="55"/>
    </row>
    <row r="581" spans="1:5" x14ac:dyDescent="0.25">
      <c r="A581" s="79">
        <f t="shared" ref="A581:A644" si="9">ROW()-4</f>
        <v>577</v>
      </c>
      <c r="B581" s="74"/>
      <c r="C581" s="52"/>
      <c r="D581" s="52"/>
      <c r="E581" s="55"/>
    </row>
    <row r="582" spans="1:5" x14ac:dyDescent="0.25">
      <c r="A582" s="79">
        <f t="shared" si="9"/>
        <v>578</v>
      </c>
      <c r="B582" s="74"/>
      <c r="C582" s="52"/>
      <c r="D582" s="52"/>
      <c r="E582" s="55"/>
    </row>
    <row r="583" spans="1:5" x14ac:dyDescent="0.25">
      <c r="A583" s="79">
        <f t="shared" si="9"/>
        <v>579</v>
      </c>
      <c r="B583" s="74"/>
      <c r="C583" s="52"/>
      <c r="D583" s="52"/>
      <c r="E583" s="55"/>
    </row>
    <row r="584" spans="1:5" x14ac:dyDescent="0.25">
      <c r="A584" s="79">
        <f t="shared" si="9"/>
        <v>580</v>
      </c>
      <c r="B584" s="74"/>
      <c r="C584" s="52"/>
      <c r="D584" s="52"/>
      <c r="E584" s="55"/>
    </row>
    <row r="585" spans="1:5" x14ac:dyDescent="0.25">
      <c r="A585" s="79">
        <f t="shared" si="9"/>
        <v>581</v>
      </c>
      <c r="B585" s="74"/>
      <c r="C585" s="52"/>
      <c r="D585" s="52"/>
      <c r="E585" s="55"/>
    </row>
    <row r="586" spans="1:5" x14ac:dyDescent="0.25">
      <c r="A586" s="79">
        <f t="shared" si="9"/>
        <v>582</v>
      </c>
      <c r="B586" s="74"/>
      <c r="C586" s="52"/>
      <c r="D586" s="52"/>
      <c r="E586" s="55"/>
    </row>
    <row r="587" spans="1:5" x14ac:dyDescent="0.25">
      <c r="A587" s="79">
        <f t="shared" si="9"/>
        <v>583</v>
      </c>
      <c r="B587" s="74"/>
      <c r="C587" s="52"/>
      <c r="D587" s="52"/>
      <c r="E587" s="55"/>
    </row>
    <row r="588" spans="1:5" x14ac:dyDescent="0.25">
      <c r="A588" s="79">
        <f t="shared" si="9"/>
        <v>584</v>
      </c>
      <c r="B588" s="74"/>
      <c r="C588" s="52"/>
      <c r="D588" s="52"/>
      <c r="E588" s="55"/>
    </row>
    <row r="589" spans="1:5" x14ac:dyDescent="0.25">
      <c r="A589" s="79">
        <f t="shared" si="9"/>
        <v>585</v>
      </c>
      <c r="B589" s="74"/>
      <c r="C589" s="52"/>
      <c r="D589" s="52"/>
      <c r="E589" s="55"/>
    </row>
    <row r="590" spans="1:5" x14ac:dyDescent="0.25">
      <c r="A590" s="79">
        <f t="shared" si="9"/>
        <v>586</v>
      </c>
      <c r="B590" s="74"/>
      <c r="C590" s="52"/>
      <c r="D590" s="52"/>
      <c r="E590" s="55"/>
    </row>
    <row r="591" spans="1:5" x14ac:dyDescent="0.25">
      <c r="A591" s="79">
        <f t="shared" si="9"/>
        <v>587</v>
      </c>
      <c r="B591" s="74"/>
      <c r="C591" s="52"/>
      <c r="D591" s="52"/>
      <c r="E591" s="55"/>
    </row>
    <row r="592" spans="1:5" x14ac:dyDescent="0.25">
      <c r="A592" s="79">
        <f t="shared" si="9"/>
        <v>588</v>
      </c>
      <c r="B592" s="74"/>
      <c r="C592" s="52"/>
      <c r="D592" s="52"/>
      <c r="E592" s="55"/>
    </row>
    <row r="593" spans="1:5" x14ac:dyDescent="0.25">
      <c r="A593" s="79">
        <f t="shared" si="9"/>
        <v>589</v>
      </c>
      <c r="B593" s="74"/>
      <c r="C593" s="52"/>
      <c r="D593" s="52"/>
      <c r="E593" s="55"/>
    </row>
    <row r="594" spans="1:5" x14ac:dyDescent="0.25">
      <c r="A594" s="79">
        <f t="shared" si="9"/>
        <v>590</v>
      </c>
      <c r="B594" s="74"/>
      <c r="C594" s="52"/>
      <c r="D594" s="52"/>
      <c r="E594" s="55"/>
    </row>
    <row r="595" spans="1:5" x14ac:dyDescent="0.25">
      <c r="A595" s="79">
        <f t="shared" si="9"/>
        <v>591</v>
      </c>
      <c r="B595" s="74"/>
      <c r="C595" s="52"/>
      <c r="D595" s="52"/>
      <c r="E595" s="55"/>
    </row>
    <row r="596" spans="1:5" x14ac:dyDescent="0.25">
      <c r="A596" s="79">
        <f t="shared" si="9"/>
        <v>592</v>
      </c>
      <c r="B596" s="74"/>
      <c r="C596" s="52"/>
      <c r="D596" s="52"/>
      <c r="E596" s="55"/>
    </row>
    <row r="597" spans="1:5" x14ac:dyDescent="0.25">
      <c r="A597" s="79">
        <f t="shared" si="9"/>
        <v>593</v>
      </c>
      <c r="B597" s="74"/>
      <c r="C597" s="52"/>
      <c r="D597" s="52"/>
      <c r="E597" s="55"/>
    </row>
    <row r="598" spans="1:5" x14ac:dyDescent="0.25">
      <c r="A598" s="79">
        <f t="shared" si="9"/>
        <v>594</v>
      </c>
      <c r="B598" s="74"/>
      <c r="C598" s="52"/>
      <c r="D598" s="52"/>
      <c r="E598" s="55"/>
    </row>
    <row r="599" spans="1:5" x14ac:dyDescent="0.25">
      <c r="A599" s="79">
        <f t="shared" si="9"/>
        <v>595</v>
      </c>
      <c r="B599" s="74"/>
      <c r="C599" s="52"/>
      <c r="D599" s="52"/>
      <c r="E599" s="55"/>
    </row>
    <row r="600" spans="1:5" x14ac:dyDescent="0.25">
      <c r="A600" s="79">
        <f t="shared" si="9"/>
        <v>596</v>
      </c>
      <c r="B600" s="74"/>
      <c r="C600" s="52"/>
      <c r="D600" s="52"/>
      <c r="E600" s="55"/>
    </row>
    <row r="601" spans="1:5" x14ac:dyDescent="0.25">
      <c r="A601" s="79">
        <f t="shared" si="9"/>
        <v>597</v>
      </c>
      <c r="B601" s="74"/>
      <c r="C601" s="52"/>
      <c r="D601" s="52"/>
      <c r="E601" s="55"/>
    </row>
    <row r="602" spans="1:5" x14ac:dyDescent="0.25">
      <c r="A602" s="79">
        <f t="shared" si="9"/>
        <v>598</v>
      </c>
      <c r="B602" s="74"/>
      <c r="C602" s="52"/>
      <c r="D602" s="52"/>
      <c r="E602" s="55"/>
    </row>
    <row r="603" spans="1:5" x14ac:dyDescent="0.25">
      <c r="A603" s="79">
        <f t="shared" si="9"/>
        <v>599</v>
      </c>
      <c r="B603" s="74"/>
      <c r="C603" s="52"/>
      <c r="D603" s="52"/>
      <c r="E603" s="55"/>
    </row>
    <row r="604" spans="1:5" x14ac:dyDescent="0.25">
      <c r="A604" s="79">
        <f t="shared" si="9"/>
        <v>600</v>
      </c>
      <c r="B604" s="74"/>
      <c r="C604" s="52"/>
      <c r="D604" s="52"/>
      <c r="E604" s="55"/>
    </row>
    <row r="605" spans="1:5" x14ac:dyDescent="0.25">
      <c r="A605" s="79">
        <f t="shared" si="9"/>
        <v>601</v>
      </c>
      <c r="B605" s="74"/>
      <c r="C605" s="52"/>
      <c r="D605" s="52"/>
      <c r="E605" s="55"/>
    </row>
    <row r="606" spans="1:5" x14ac:dyDescent="0.25">
      <c r="A606" s="79">
        <f t="shared" si="9"/>
        <v>602</v>
      </c>
      <c r="B606" s="74"/>
      <c r="C606" s="52"/>
      <c r="D606" s="52"/>
      <c r="E606" s="55"/>
    </row>
    <row r="607" spans="1:5" x14ac:dyDescent="0.25">
      <c r="A607" s="79">
        <f t="shared" si="9"/>
        <v>603</v>
      </c>
      <c r="B607" s="74"/>
      <c r="C607" s="52"/>
      <c r="D607" s="52"/>
      <c r="E607" s="55"/>
    </row>
    <row r="608" spans="1:5" x14ac:dyDescent="0.25">
      <c r="A608" s="79">
        <f t="shared" si="9"/>
        <v>604</v>
      </c>
      <c r="B608" s="74"/>
      <c r="C608" s="52"/>
      <c r="D608" s="52"/>
      <c r="E608" s="55"/>
    </row>
    <row r="609" spans="1:5" x14ac:dyDescent="0.25">
      <c r="A609" s="79">
        <f t="shared" si="9"/>
        <v>605</v>
      </c>
      <c r="B609" s="74"/>
      <c r="C609" s="52"/>
      <c r="D609" s="52"/>
      <c r="E609" s="55"/>
    </row>
    <row r="610" spans="1:5" x14ac:dyDescent="0.25">
      <c r="A610" s="79">
        <f t="shared" si="9"/>
        <v>606</v>
      </c>
      <c r="B610" s="74"/>
      <c r="C610" s="52"/>
      <c r="D610" s="52"/>
      <c r="E610" s="55"/>
    </row>
    <row r="611" spans="1:5" x14ac:dyDescent="0.25">
      <c r="A611" s="79">
        <f t="shared" si="9"/>
        <v>607</v>
      </c>
      <c r="B611" s="74"/>
      <c r="C611" s="52"/>
      <c r="D611" s="52"/>
      <c r="E611" s="55"/>
    </row>
    <row r="612" spans="1:5" x14ac:dyDescent="0.25">
      <c r="A612" s="79">
        <f t="shared" si="9"/>
        <v>608</v>
      </c>
      <c r="B612" s="74"/>
      <c r="C612" s="52"/>
      <c r="D612" s="52"/>
      <c r="E612" s="55"/>
    </row>
    <row r="613" spans="1:5" x14ac:dyDescent="0.25">
      <c r="A613" s="79">
        <f t="shared" si="9"/>
        <v>609</v>
      </c>
      <c r="B613" s="74"/>
      <c r="C613" s="52"/>
      <c r="D613" s="52"/>
      <c r="E613" s="55"/>
    </row>
    <row r="614" spans="1:5" x14ac:dyDescent="0.25">
      <c r="A614" s="79">
        <f t="shared" si="9"/>
        <v>610</v>
      </c>
      <c r="B614" s="74"/>
      <c r="C614" s="52"/>
      <c r="D614" s="52"/>
      <c r="E614" s="55"/>
    </row>
    <row r="615" spans="1:5" x14ac:dyDescent="0.25">
      <c r="A615" s="79">
        <f t="shared" si="9"/>
        <v>611</v>
      </c>
      <c r="B615" s="74"/>
      <c r="C615" s="52"/>
      <c r="D615" s="52"/>
      <c r="E615" s="55"/>
    </row>
    <row r="616" spans="1:5" x14ac:dyDescent="0.25">
      <c r="A616" s="79">
        <f t="shared" si="9"/>
        <v>612</v>
      </c>
      <c r="B616" s="74"/>
      <c r="C616" s="52"/>
      <c r="D616" s="52"/>
      <c r="E616" s="55"/>
    </row>
    <row r="617" spans="1:5" x14ac:dyDescent="0.25">
      <c r="A617" s="79">
        <f t="shared" si="9"/>
        <v>613</v>
      </c>
      <c r="B617" s="74"/>
      <c r="C617" s="52"/>
      <c r="D617" s="52"/>
      <c r="E617" s="55"/>
    </row>
    <row r="618" spans="1:5" x14ac:dyDescent="0.25">
      <c r="A618" s="79">
        <f t="shared" si="9"/>
        <v>614</v>
      </c>
      <c r="B618" s="74"/>
      <c r="C618" s="52"/>
      <c r="D618" s="52"/>
      <c r="E618" s="55"/>
    </row>
    <row r="619" spans="1:5" x14ac:dyDescent="0.25">
      <c r="A619" s="79">
        <f t="shared" si="9"/>
        <v>615</v>
      </c>
      <c r="B619" s="74"/>
      <c r="C619" s="52"/>
      <c r="D619" s="52"/>
      <c r="E619" s="55"/>
    </row>
    <row r="620" spans="1:5" x14ac:dyDescent="0.25">
      <c r="A620" s="79">
        <f t="shared" si="9"/>
        <v>616</v>
      </c>
      <c r="B620" s="74"/>
      <c r="C620" s="52"/>
      <c r="D620" s="52"/>
      <c r="E620" s="55"/>
    </row>
    <row r="621" spans="1:5" x14ac:dyDescent="0.25">
      <c r="A621" s="79">
        <f t="shared" si="9"/>
        <v>617</v>
      </c>
      <c r="B621" s="74"/>
      <c r="C621" s="52"/>
      <c r="D621" s="52"/>
      <c r="E621" s="55"/>
    </row>
    <row r="622" spans="1:5" x14ac:dyDescent="0.25">
      <c r="A622" s="79">
        <f t="shared" si="9"/>
        <v>618</v>
      </c>
      <c r="B622" s="74"/>
      <c r="C622" s="52"/>
      <c r="D622" s="52"/>
      <c r="E622" s="55"/>
    </row>
    <row r="623" spans="1:5" x14ac:dyDescent="0.25">
      <c r="A623" s="79">
        <f t="shared" si="9"/>
        <v>619</v>
      </c>
      <c r="B623" s="74"/>
      <c r="C623" s="52"/>
      <c r="D623" s="52"/>
      <c r="E623" s="55"/>
    </row>
    <row r="624" spans="1:5" x14ac:dyDescent="0.25">
      <c r="A624" s="79">
        <f t="shared" si="9"/>
        <v>620</v>
      </c>
      <c r="B624" s="74"/>
      <c r="C624" s="52"/>
      <c r="D624" s="52"/>
      <c r="E624" s="55"/>
    </row>
    <row r="625" spans="1:5" x14ac:dyDescent="0.25">
      <c r="A625" s="79">
        <f t="shared" si="9"/>
        <v>621</v>
      </c>
      <c r="B625" s="74"/>
      <c r="C625" s="52"/>
      <c r="D625" s="52"/>
      <c r="E625" s="55"/>
    </row>
    <row r="626" spans="1:5" x14ac:dyDescent="0.25">
      <c r="A626" s="79">
        <f t="shared" si="9"/>
        <v>622</v>
      </c>
      <c r="B626" s="74"/>
      <c r="C626" s="52"/>
      <c r="D626" s="52"/>
      <c r="E626" s="55"/>
    </row>
    <row r="627" spans="1:5" x14ac:dyDescent="0.25">
      <c r="A627" s="79">
        <f t="shared" si="9"/>
        <v>623</v>
      </c>
      <c r="B627" s="74"/>
      <c r="C627" s="52"/>
      <c r="D627" s="52"/>
      <c r="E627" s="55"/>
    </row>
    <row r="628" spans="1:5" x14ac:dyDescent="0.25">
      <c r="A628" s="79">
        <f t="shared" si="9"/>
        <v>624</v>
      </c>
      <c r="B628" s="74"/>
      <c r="C628" s="52"/>
      <c r="D628" s="52"/>
      <c r="E628" s="55"/>
    </row>
    <row r="629" spans="1:5" x14ac:dyDescent="0.25">
      <c r="A629" s="79">
        <f t="shared" si="9"/>
        <v>625</v>
      </c>
      <c r="B629" s="74"/>
      <c r="C629" s="52"/>
      <c r="D629" s="52"/>
      <c r="E629" s="55"/>
    </row>
    <row r="630" spans="1:5" x14ac:dyDescent="0.25">
      <c r="A630" s="79">
        <f t="shared" si="9"/>
        <v>626</v>
      </c>
      <c r="B630" s="74"/>
      <c r="C630" s="52"/>
      <c r="D630" s="52"/>
      <c r="E630" s="55"/>
    </row>
    <row r="631" spans="1:5" x14ac:dyDescent="0.25">
      <c r="A631" s="79">
        <f t="shared" si="9"/>
        <v>627</v>
      </c>
      <c r="B631" s="74"/>
      <c r="C631" s="52"/>
      <c r="D631" s="52"/>
      <c r="E631" s="55"/>
    </row>
    <row r="632" spans="1:5" x14ac:dyDescent="0.25">
      <c r="A632" s="79">
        <f t="shared" si="9"/>
        <v>628</v>
      </c>
      <c r="B632" s="74"/>
      <c r="C632" s="52"/>
      <c r="D632" s="52"/>
      <c r="E632" s="55"/>
    </row>
    <row r="633" spans="1:5" x14ac:dyDescent="0.25">
      <c r="A633" s="79">
        <f t="shared" si="9"/>
        <v>629</v>
      </c>
      <c r="B633" s="74"/>
      <c r="C633" s="52"/>
      <c r="D633" s="52"/>
      <c r="E633" s="55"/>
    </row>
    <row r="634" spans="1:5" x14ac:dyDescent="0.25">
      <c r="A634" s="79">
        <f t="shared" si="9"/>
        <v>630</v>
      </c>
      <c r="B634" s="74"/>
      <c r="C634" s="52"/>
      <c r="D634" s="52"/>
      <c r="E634" s="55"/>
    </row>
    <row r="635" spans="1:5" x14ac:dyDescent="0.25">
      <c r="A635" s="79">
        <f t="shared" si="9"/>
        <v>631</v>
      </c>
      <c r="B635" s="74"/>
      <c r="C635" s="52"/>
      <c r="D635" s="52"/>
      <c r="E635" s="55"/>
    </row>
    <row r="636" spans="1:5" x14ac:dyDescent="0.25">
      <c r="A636" s="79">
        <f t="shared" si="9"/>
        <v>632</v>
      </c>
      <c r="B636" s="74"/>
      <c r="C636" s="52"/>
      <c r="D636" s="52"/>
      <c r="E636" s="55"/>
    </row>
    <row r="637" spans="1:5" x14ac:dyDescent="0.25">
      <c r="A637" s="79">
        <f t="shared" si="9"/>
        <v>633</v>
      </c>
      <c r="B637" s="74"/>
      <c r="C637" s="52"/>
      <c r="D637" s="52"/>
      <c r="E637" s="55"/>
    </row>
    <row r="638" spans="1:5" x14ac:dyDescent="0.25">
      <c r="A638" s="79">
        <f t="shared" si="9"/>
        <v>634</v>
      </c>
      <c r="B638" s="74"/>
      <c r="C638" s="52"/>
      <c r="D638" s="52"/>
      <c r="E638" s="55"/>
    </row>
    <row r="639" spans="1:5" x14ac:dyDescent="0.25">
      <c r="A639" s="79">
        <f t="shared" si="9"/>
        <v>635</v>
      </c>
      <c r="B639" s="74"/>
      <c r="C639" s="52"/>
      <c r="D639" s="52"/>
      <c r="E639" s="55"/>
    </row>
    <row r="640" spans="1:5" x14ac:dyDescent="0.25">
      <c r="A640" s="79">
        <f t="shared" si="9"/>
        <v>636</v>
      </c>
      <c r="B640" s="74"/>
      <c r="C640" s="52"/>
      <c r="D640" s="52"/>
      <c r="E640" s="55"/>
    </row>
    <row r="641" spans="1:5" x14ac:dyDescent="0.25">
      <c r="A641" s="79">
        <f t="shared" si="9"/>
        <v>637</v>
      </c>
      <c r="B641" s="74"/>
      <c r="C641" s="52"/>
      <c r="D641" s="52"/>
      <c r="E641" s="55"/>
    </row>
    <row r="642" spans="1:5" x14ac:dyDescent="0.25">
      <c r="A642" s="79">
        <f t="shared" si="9"/>
        <v>638</v>
      </c>
      <c r="B642" s="74"/>
      <c r="C642" s="52"/>
      <c r="D642" s="52"/>
      <c r="E642" s="55"/>
    </row>
    <row r="643" spans="1:5" x14ac:dyDescent="0.25">
      <c r="A643" s="79">
        <f t="shared" si="9"/>
        <v>639</v>
      </c>
      <c r="B643" s="74"/>
      <c r="C643" s="52"/>
      <c r="D643" s="52"/>
      <c r="E643" s="55"/>
    </row>
    <row r="644" spans="1:5" x14ac:dyDescent="0.25">
      <c r="A644" s="79">
        <f t="shared" si="9"/>
        <v>640</v>
      </c>
      <c r="B644" s="74"/>
      <c r="C644" s="52"/>
      <c r="D644" s="52"/>
      <c r="E644" s="55"/>
    </row>
    <row r="645" spans="1:5" x14ac:dyDescent="0.25">
      <c r="A645" s="79">
        <f t="shared" ref="A645:A708" si="10">ROW()-4</f>
        <v>641</v>
      </c>
      <c r="B645" s="74"/>
      <c r="C645" s="52"/>
      <c r="D645" s="52"/>
      <c r="E645" s="55"/>
    </row>
    <row r="646" spans="1:5" x14ac:dyDescent="0.25">
      <c r="A646" s="79">
        <f t="shared" si="10"/>
        <v>642</v>
      </c>
      <c r="B646" s="74"/>
      <c r="C646" s="52"/>
      <c r="D646" s="52"/>
      <c r="E646" s="55"/>
    </row>
    <row r="647" spans="1:5" x14ac:dyDescent="0.25">
      <c r="A647" s="79">
        <f t="shared" si="10"/>
        <v>643</v>
      </c>
      <c r="B647" s="74"/>
      <c r="C647" s="52"/>
      <c r="D647" s="52"/>
      <c r="E647" s="55"/>
    </row>
    <row r="648" spans="1:5" x14ac:dyDescent="0.25">
      <c r="A648" s="79">
        <f t="shared" si="10"/>
        <v>644</v>
      </c>
      <c r="B648" s="74"/>
      <c r="C648" s="52"/>
      <c r="D648" s="52"/>
      <c r="E648" s="55"/>
    </row>
    <row r="649" spans="1:5" x14ac:dyDescent="0.25">
      <c r="A649" s="79">
        <f t="shared" si="10"/>
        <v>645</v>
      </c>
      <c r="B649" s="74"/>
      <c r="C649" s="52"/>
      <c r="D649" s="52"/>
      <c r="E649" s="55"/>
    </row>
    <row r="650" spans="1:5" x14ac:dyDescent="0.25">
      <c r="A650" s="79">
        <f t="shared" si="10"/>
        <v>646</v>
      </c>
      <c r="B650" s="74"/>
      <c r="C650" s="52"/>
      <c r="D650" s="52"/>
      <c r="E650" s="55"/>
    </row>
    <row r="651" spans="1:5" x14ac:dyDescent="0.25">
      <c r="A651" s="79">
        <f t="shared" si="10"/>
        <v>647</v>
      </c>
      <c r="B651" s="74"/>
      <c r="C651" s="52"/>
      <c r="D651" s="52"/>
      <c r="E651" s="55"/>
    </row>
    <row r="652" spans="1:5" x14ac:dyDescent="0.25">
      <c r="A652" s="79">
        <f t="shared" si="10"/>
        <v>648</v>
      </c>
      <c r="B652" s="74"/>
      <c r="C652" s="52"/>
      <c r="D652" s="52"/>
      <c r="E652" s="55"/>
    </row>
    <row r="653" spans="1:5" x14ac:dyDescent="0.25">
      <c r="A653" s="79">
        <f t="shared" si="10"/>
        <v>649</v>
      </c>
      <c r="B653" s="74"/>
      <c r="C653" s="52"/>
      <c r="D653" s="52"/>
      <c r="E653" s="55"/>
    </row>
    <row r="654" spans="1:5" x14ac:dyDescent="0.25">
      <c r="A654" s="79">
        <f t="shared" si="10"/>
        <v>650</v>
      </c>
      <c r="B654" s="74"/>
      <c r="C654" s="52"/>
      <c r="D654" s="52"/>
      <c r="E654" s="55"/>
    </row>
    <row r="655" spans="1:5" x14ac:dyDescent="0.25">
      <c r="A655" s="79">
        <f t="shared" si="10"/>
        <v>651</v>
      </c>
      <c r="B655" s="74"/>
      <c r="C655" s="52"/>
      <c r="D655" s="52"/>
      <c r="E655" s="55"/>
    </row>
    <row r="656" spans="1:5" x14ac:dyDescent="0.25">
      <c r="A656" s="79">
        <f t="shared" si="10"/>
        <v>652</v>
      </c>
      <c r="B656" s="74"/>
      <c r="C656" s="52"/>
      <c r="D656" s="52"/>
      <c r="E656" s="55"/>
    </row>
    <row r="657" spans="1:5" x14ac:dyDescent="0.25">
      <c r="A657" s="79">
        <f t="shared" si="10"/>
        <v>653</v>
      </c>
      <c r="B657" s="74"/>
      <c r="C657" s="52"/>
      <c r="D657" s="52"/>
      <c r="E657" s="55"/>
    </row>
    <row r="658" spans="1:5" x14ac:dyDescent="0.25">
      <c r="A658" s="79">
        <f t="shared" si="10"/>
        <v>654</v>
      </c>
      <c r="B658" s="74"/>
      <c r="C658" s="52"/>
      <c r="D658" s="52"/>
      <c r="E658" s="55"/>
    </row>
    <row r="659" spans="1:5" x14ac:dyDescent="0.25">
      <c r="A659" s="79">
        <f t="shared" si="10"/>
        <v>655</v>
      </c>
      <c r="B659" s="74"/>
      <c r="C659" s="52"/>
      <c r="D659" s="52"/>
      <c r="E659" s="55"/>
    </row>
    <row r="660" spans="1:5" x14ac:dyDescent="0.25">
      <c r="A660" s="79">
        <f t="shared" si="10"/>
        <v>656</v>
      </c>
      <c r="B660" s="74"/>
      <c r="C660" s="52"/>
      <c r="D660" s="52"/>
      <c r="E660" s="55"/>
    </row>
    <row r="661" spans="1:5" x14ac:dyDescent="0.25">
      <c r="A661" s="79">
        <f t="shared" si="10"/>
        <v>657</v>
      </c>
      <c r="B661" s="74"/>
      <c r="C661" s="52"/>
      <c r="D661" s="52"/>
      <c r="E661" s="55"/>
    </row>
    <row r="662" spans="1:5" x14ac:dyDescent="0.25">
      <c r="A662" s="79">
        <f t="shared" si="10"/>
        <v>658</v>
      </c>
      <c r="B662" s="74"/>
      <c r="C662" s="52"/>
      <c r="D662" s="52"/>
      <c r="E662" s="55"/>
    </row>
    <row r="663" spans="1:5" x14ac:dyDescent="0.25">
      <c r="A663" s="79">
        <f t="shared" si="10"/>
        <v>659</v>
      </c>
      <c r="B663" s="74"/>
      <c r="C663" s="52"/>
      <c r="D663" s="52"/>
      <c r="E663" s="55"/>
    </row>
    <row r="664" spans="1:5" x14ac:dyDescent="0.25">
      <c r="A664" s="79">
        <f t="shared" si="10"/>
        <v>660</v>
      </c>
      <c r="B664" s="74"/>
      <c r="C664" s="52"/>
      <c r="D664" s="52"/>
      <c r="E664" s="55"/>
    </row>
    <row r="665" spans="1:5" x14ac:dyDescent="0.25">
      <c r="A665" s="79">
        <f t="shared" si="10"/>
        <v>661</v>
      </c>
      <c r="B665" s="74"/>
      <c r="C665" s="52"/>
      <c r="D665" s="52"/>
      <c r="E665" s="55"/>
    </row>
    <row r="666" spans="1:5" x14ac:dyDescent="0.25">
      <c r="A666" s="79">
        <f t="shared" si="10"/>
        <v>662</v>
      </c>
      <c r="B666" s="74"/>
      <c r="C666" s="52"/>
      <c r="D666" s="52"/>
      <c r="E666" s="55"/>
    </row>
    <row r="667" spans="1:5" x14ac:dyDescent="0.25">
      <c r="A667" s="79">
        <f t="shared" si="10"/>
        <v>663</v>
      </c>
      <c r="B667" s="74"/>
      <c r="C667" s="52"/>
      <c r="D667" s="52"/>
      <c r="E667" s="55"/>
    </row>
    <row r="668" spans="1:5" x14ac:dyDescent="0.25">
      <c r="A668" s="79">
        <f t="shared" si="10"/>
        <v>664</v>
      </c>
      <c r="B668" s="74"/>
      <c r="C668" s="52"/>
      <c r="D668" s="52"/>
      <c r="E668" s="55"/>
    </row>
    <row r="669" spans="1:5" x14ac:dyDescent="0.25">
      <c r="A669" s="79">
        <f t="shared" si="10"/>
        <v>665</v>
      </c>
      <c r="B669" s="74"/>
      <c r="C669" s="52"/>
      <c r="D669" s="52"/>
      <c r="E669" s="55"/>
    </row>
    <row r="670" spans="1:5" x14ac:dyDescent="0.25">
      <c r="A670" s="79">
        <f t="shared" si="10"/>
        <v>666</v>
      </c>
      <c r="B670" s="74"/>
      <c r="C670" s="52"/>
      <c r="D670" s="52"/>
      <c r="E670" s="55"/>
    </row>
    <row r="671" spans="1:5" x14ac:dyDescent="0.25">
      <c r="A671" s="79">
        <f t="shared" si="10"/>
        <v>667</v>
      </c>
      <c r="B671" s="74"/>
      <c r="C671" s="52"/>
      <c r="D671" s="52"/>
      <c r="E671" s="55"/>
    </row>
    <row r="672" spans="1:5" x14ac:dyDescent="0.25">
      <c r="A672" s="79">
        <f t="shared" si="10"/>
        <v>668</v>
      </c>
      <c r="B672" s="74"/>
      <c r="C672" s="52"/>
      <c r="D672" s="52"/>
      <c r="E672" s="55"/>
    </row>
    <row r="673" spans="1:5" x14ac:dyDescent="0.25">
      <c r="A673" s="79">
        <f t="shared" si="10"/>
        <v>669</v>
      </c>
      <c r="B673" s="74"/>
      <c r="C673" s="52"/>
      <c r="D673" s="52"/>
      <c r="E673" s="55"/>
    </row>
    <row r="674" spans="1:5" x14ac:dyDescent="0.25">
      <c r="A674" s="79">
        <f t="shared" si="10"/>
        <v>670</v>
      </c>
      <c r="B674" s="74"/>
      <c r="C674" s="52"/>
      <c r="D674" s="52"/>
      <c r="E674" s="55"/>
    </row>
    <row r="675" spans="1:5" x14ac:dyDescent="0.25">
      <c r="A675" s="79">
        <f t="shared" si="10"/>
        <v>671</v>
      </c>
      <c r="B675" s="74"/>
      <c r="C675" s="52"/>
      <c r="D675" s="52"/>
      <c r="E675" s="55"/>
    </row>
    <row r="676" spans="1:5" x14ac:dyDescent="0.25">
      <c r="A676" s="79">
        <f t="shared" si="10"/>
        <v>672</v>
      </c>
      <c r="B676" s="74"/>
      <c r="C676" s="52"/>
      <c r="D676" s="52"/>
      <c r="E676" s="55"/>
    </row>
    <row r="677" spans="1:5" x14ac:dyDescent="0.25">
      <c r="A677" s="79">
        <f t="shared" si="10"/>
        <v>673</v>
      </c>
      <c r="B677" s="74"/>
      <c r="C677" s="52"/>
      <c r="D677" s="52"/>
      <c r="E677" s="55"/>
    </row>
    <row r="678" spans="1:5" x14ac:dyDescent="0.25">
      <c r="A678" s="79">
        <f t="shared" si="10"/>
        <v>674</v>
      </c>
      <c r="B678" s="74"/>
      <c r="C678" s="52"/>
      <c r="D678" s="52"/>
      <c r="E678" s="55"/>
    </row>
    <row r="679" spans="1:5" x14ac:dyDescent="0.25">
      <c r="A679" s="79">
        <f t="shared" si="10"/>
        <v>675</v>
      </c>
      <c r="B679" s="74"/>
      <c r="C679" s="52"/>
      <c r="D679" s="52"/>
      <c r="E679" s="55"/>
    </row>
    <row r="680" spans="1:5" x14ac:dyDescent="0.25">
      <c r="A680" s="79">
        <f t="shared" si="10"/>
        <v>676</v>
      </c>
      <c r="B680" s="74"/>
      <c r="C680" s="52"/>
      <c r="D680" s="52"/>
      <c r="E680" s="55"/>
    </row>
    <row r="681" spans="1:5" x14ac:dyDescent="0.25">
      <c r="A681" s="79">
        <f t="shared" si="10"/>
        <v>677</v>
      </c>
      <c r="B681" s="74"/>
      <c r="C681" s="52"/>
      <c r="D681" s="52"/>
      <c r="E681" s="55"/>
    </row>
    <row r="682" spans="1:5" x14ac:dyDescent="0.25">
      <c r="A682" s="79">
        <f t="shared" si="10"/>
        <v>678</v>
      </c>
      <c r="B682" s="74"/>
      <c r="C682" s="52"/>
      <c r="D682" s="52"/>
      <c r="E682" s="55"/>
    </row>
    <row r="683" spans="1:5" x14ac:dyDescent="0.25">
      <c r="A683" s="79">
        <f t="shared" si="10"/>
        <v>679</v>
      </c>
      <c r="B683" s="74"/>
      <c r="C683" s="52"/>
      <c r="D683" s="52"/>
      <c r="E683" s="55"/>
    </row>
    <row r="684" spans="1:5" x14ac:dyDescent="0.25">
      <c r="A684" s="79">
        <f t="shared" si="10"/>
        <v>680</v>
      </c>
      <c r="B684" s="74"/>
      <c r="C684" s="52"/>
      <c r="D684" s="52"/>
      <c r="E684" s="55"/>
    </row>
    <row r="685" spans="1:5" x14ac:dyDescent="0.25">
      <c r="A685" s="79">
        <f t="shared" si="10"/>
        <v>681</v>
      </c>
      <c r="B685" s="74"/>
      <c r="C685" s="52"/>
      <c r="D685" s="52"/>
      <c r="E685" s="55"/>
    </row>
    <row r="686" spans="1:5" x14ac:dyDescent="0.25">
      <c r="A686" s="79">
        <f t="shared" si="10"/>
        <v>682</v>
      </c>
      <c r="B686" s="74"/>
      <c r="C686" s="52"/>
      <c r="D686" s="52"/>
      <c r="E686" s="55"/>
    </row>
    <row r="687" spans="1:5" x14ac:dyDescent="0.25">
      <c r="A687" s="79">
        <f t="shared" si="10"/>
        <v>683</v>
      </c>
      <c r="B687" s="74"/>
      <c r="C687" s="52"/>
      <c r="D687" s="52"/>
      <c r="E687" s="55"/>
    </row>
    <row r="688" spans="1:5" x14ac:dyDescent="0.25">
      <c r="A688" s="79">
        <f t="shared" si="10"/>
        <v>684</v>
      </c>
      <c r="B688" s="74"/>
      <c r="C688" s="52"/>
      <c r="D688" s="52"/>
      <c r="E688" s="55"/>
    </row>
    <row r="689" spans="1:5" x14ac:dyDescent="0.25">
      <c r="A689" s="79">
        <f t="shared" si="10"/>
        <v>685</v>
      </c>
      <c r="B689" s="74"/>
      <c r="C689" s="52"/>
      <c r="D689" s="52"/>
      <c r="E689" s="55"/>
    </row>
    <row r="690" spans="1:5" x14ac:dyDescent="0.25">
      <c r="A690" s="79">
        <f t="shared" si="10"/>
        <v>686</v>
      </c>
      <c r="B690" s="74"/>
      <c r="C690" s="52"/>
      <c r="D690" s="52"/>
      <c r="E690" s="55"/>
    </row>
    <row r="691" spans="1:5" x14ac:dyDescent="0.25">
      <c r="A691" s="79">
        <f t="shared" si="10"/>
        <v>687</v>
      </c>
      <c r="B691" s="74"/>
      <c r="C691" s="52"/>
      <c r="D691" s="52"/>
      <c r="E691" s="55"/>
    </row>
    <row r="692" spans="1:5" x14ac:dyDescent="0.25">
      <c r="A692" s="79">
        <f t="shared" si="10"/>
        <v>688</v>
      </c>
      <c r="B692" s="74"/>
      <c r="C692" s="52"/>
      <c r="D692" s="52"/>
      <c r="E692" s="55"/>
    </row>
    <row r="693" spans="1:5" x14ac:dyDescent="0.25">
      <c r="A693" s="79">
        <f t="shared" si="10"/>
        <v>689</v>
      </c>
      <c r="B693" s="74"/>
      <c r="C693" s="52"/>
      <c r="D693" s="52"/>
      <c r="E693" s="55"/>
    </row>
    <row r="694" spans="1:5" x14ac:dyDescent="0.25">
      <c r="A694" s="79">
        <f t="shared" si="10"/>
        <v>690</v>
      </c>
      <c r="B694" s="74"/>
      <c r="C694" s="52"/>
      <c r="D694" s="52"/>
      <c r="E694" s="55"/>
    </row>
    <row r="695" spans="1:5" x14ac:dyDescent="0.25">
      <c r="A695" s="79">
        <f t="shared" si="10"/>
        <v>691</v>
      </c>
      <c r="B695" s="74"/>
      <c r="C695" s="52"/>
      <c r="D695" s="52"/>
      <c r="E695" s="55"/>
    </row>
    <row r="696" spans="1:5" x14ac:dyDescent="0.25">
      <c r="A696" s="79">
        <f t="shared" si="10"/>
        <v>692</v>
      </c>
      <c r="B696" s="74"/>
      <c r="C696" s="52"/>
      <c r="D696" s="52"/>
      <c r="E696" s="55"/>
    </row>
    <row r="697" spans="1:5" x14ac:dyDescent="0.25">
      <c r="A697" s="79">
        <f t="shared" si="10"/>
        <v>693</v>
      </c>
      <c r="B697" s="74"/>
      <c r="C697" s="52"/>
      <c r="D697" s="52"/>
      <c r="E697" s="55"/>
    </row>
    <row r="698" spans="1:5" x14ac:dyDescent="0.25">
      <c r="A698" s="79">
        <f t="shared" si="10"/>
        <v>694</v>
      </c>
      <c r="B698" s="74"/>
      <c r="C698" s="52"/>
      <c r="D698" s="52"/>
      <c r="E698" s="55"/>
    </row>
    <row r="699" spans="1:5" x14ac:dyDescent="0.25">
      <c r="A699" s="79">
        <f t="shared" si="10"/>
        <v>695</v>
      </c>
      <c r="B699" s="74"/>
      <c r="C699" s="52"/>
      <c r="D699" s="52"/>
      <c r="E699" s="55"/>
    </row>
    <row r="700" spans="1:5" x14ac:dyDescent="0.25">
      <c r="A700" s="79">
        <f t="shared" si="10"/>
        <v>696</v>
      </c>
      <c r="B700" s="74"/>
      <c r="C700" s="52"/>
      <c r="D700" s="52"/>
      <c r="E700" s="55"/>
    </row>
    <row r="701" spans="1:5" x14ac:dyDescent="0.25">
      <c r="A701" s="79">
        <f t="shared" si="10"/>
        <v>697</v>
      </c>
      <c r="B701" s="74"/>
      <c r="C701" s="52"/>
      <c r="D701" s="52"/>
      <c r="E701" s="55"/>
    </row>
    <row r="702" spans="1:5" x14ac:dyDescent="0.25">
      <c r="A702" s="79">
        <f t="shared" si="10"/>
        <v>698</v>
      </c>
      <c r="B702" s="74"/>
      <c r="C702" s="52"/>
      <c r="D702" s="52"/>
      <c r="E702" s="55"/>
    </row>
    <row r="703" spans="1:5" x14ac:dyDescent="0.25">
      <c r="A703" s="79">
        <f t="shared" si="10"/>
        <v>699</v>
      </c>
      <c r="B703" s="74"/>
      <c r="C703" s="52"/>
      <c r="D703" s="52"/>
      <c r="E703" s="55"/>
    </row>
    <row r="704" spans="1:5" x14ac:dyDescent="0.25">
      <c r="A704" s="79">
        <f t="shared" si="10"/>
        <v>700</v>
      </c>
      <c r="B704" s="74"/>
      <c r="C704" s="52"/>
      <c r="D704" s="52"/>
      <c r="E704" s="55"/>
    </row>
    <row r="705" spans="1:5" x14ac:dyDescent="0.25">
      <c r="A705" s="79">
        <f t="shared" si="10"/>
        <v>701</v>
      </c>
      <c r="B705" s="74"/>
      <c r="C705" s="52"/>
      <c r="D705" s="52"/>
      <c r="E705" s="55"/>
    </row>
    <row r="706" spans="1:5" x14ac:dyDescent="0.25">
      <c r="A706" s="79">
        <f t="shared" si="10"/>
        <v>702</v>
      </c>
      <c r="B706" s="74"/>
      <c r="C706" s="52"/>
      <c r="D706" s="52"/>
      <c r="E706" s="55"/>
    </row>
    <row r="707" spans="1:5" x14ac:dyDescent="0.25">
      <c r="A707" s="79">
        <f t="shared" si="10"/>
        <v>703</v>
      </c>
      <c r="B707" s="74"/>
      <c r="C707" s="52"/>
      <c r="D707" s="52"/>
      <c r="E707" s="55"/>
    </row>
    <row r="708" spans="1:5" x14ac:dyDescent="0.25">
      <c r="A708" s="79">
        <f t="shared" si="10"/>
        <v>704</v>
      </c>
      <c r="B708" s="74"/>
      <c r="C708" s="52"/>
      <c r="D708" s="52"/>
      <c r="E708" s="55"/>
    </row>
    <row r="709" spans="1:5" x14ac:dyDescent="0.25">
      <c r="A709" s="79">
        <f t="shared" ref="A709:A772" si="11">ROW()-4</f>
        <v>705</v>
      </c>
      <c r="B709" s="74"/>
      <c r="C709" s="52"/>
      <c r="D709" s="52"/>
      <c r="E709" s="55"/>
    </row>
    <row r="710" spans="1:5" x14ac:dyDescent="0.25">
      <c r="A710" s="79">
        <f t="shared" si="11"/>
        <v>706</v>
      </c>
      <c r="B710" s="74"/>
      <c r="C710" s="52"/>
      <c r="D710" s="52"/>
      <c r="E710" s="55"/>
    </row>
    <row r="711" spans="1:5" x14ac:dyDescent="0.25">
      <c r="A711" s="79">
        <f t="shared" si="11"/>
        <v>707</v>
      </c>
      <c r="B711" s="74"/>
      <c r="C711" s="52"/>
      <c r="D711" s="52"/>
      <c r="E711" s="55"/>
    </row>
    <row r="712" spans="1:5" x14ac:dyDescent="0.25">
      <c r="A712" s="79">
        <f t="shared" si="11"/>
        <v>708</v>
      </c>
      <c r="B712" s="74"/>
      <c r="C712" s="52"/>
      <c r="D712" s="52"/>
      <c r="E712" s="55"/>
    </row>
    <row r="713" spans="1:5" x14ac:dyDescent="0.25">
      <c r="A713" s="79">
        <f t="shared" si="11"/>
        <v>709</v>
      </c>
      <c r="B713" s="74"/>
      <c r="C713" s="52"/>
      <c r="D713" s="52"/>
      <c r="E713" s="55"/>
    </row>
    <row r="714" spans="1:5" x14ac:dyDescent="0.25">
      <c r="A714" s="79">
        <f t="shared" si="11"/>
        <v>710</v>
      </c>
      <c r="B714" s="74"/>
      <c r="C714" s="52"/>
      <c r="D714" s="52"/>
      <c r="E714" s="55"/>
    </row>
    <row r="715" spans="1:5" x14ac:dyDescent="0.25">
      <c r="A715" s="79">
        <f t="shared" si="11"/>
        <v>711</v>
      </c>
      <c r="B715" s="74"/>
      <c r="C715" s="52"/>
      <c r="D715" s="52"/>
      <c r="E715" s="55"/>
    </row>
    <row r="716" spans="1:5" x14ac:dyDescent="0.25">
      <c r="A716" s="79">
        <f t="shared" si="11"/>
        <v>712</v>
      </c>
      <c r="B716" s="74"/>
      <c r="C716" s="52"/>
      <c r="D716" s="52"/>
      <c r="E716" s="55"/>
    </row>
    <row r="717" spans="1:5" x14ac:dyDescent="0.25">
      <c r="A717" s="79">
        <f t="shared" si="11"/>
        <v>713</v>
      </c>
      <c r="B717" s="74"/>
      <c r="C717" s="52"/>
      <c r="D717" s="52"/>
      <c r="E717" s="55"/>
    </row>
    <row r="718" spans="1:5" x14ac:dyDescent="0.25">
      <c r="A718" s="79">
        <f t="shared" si="11"/>
        <v>714</v>
      </c>
      <c r="B718" s="74"/>
      <c r="C718" s="52"/>
      <c r="D718" s="52"/>
      <c r="E718" s="55"/>
    </row>
    <row r="719" spans="1:5" x14ac:dyDescent="0.25">
      <c r="A719" s="79">
        <f t="shared" si="11"/>
        <v>715</v>
      </c>
      <c r="B719" s="74"/>
      <c r="C719" s="52"/>
      <c r="D719" s="52"/>
      <c r="E719" s="55"/>
    </row>
    <row r="720" spans="1:5" x14ac:dyDescent="0.25">
      <c r="A720" s="79">
        <f t="shared" si="11"/>
        <v>716</v>
      </c>
      <c r="B720" s="74"/>
      <c r="C720" s="52"/>
      <c r="D720" s="52"/>
      <c r="E720" s="55"/>
    </row>
    <row r="721" spans="1:5" x14ac:dyDescent="0.25">
      <c r="A721" s="79">
        <f t="shared" si="11"/>
        <v>717</v>
      </c>
      <c r="B721" s="74"/>
      <c r="C721" s="52"/>
      <c r="D721" s="52"/>
      <c r="E721" s="55"/>
    </row>
    <row r="722" spans="1:5" x14ac:dyDescent="0.25">
      <c r="A722" s="79">
        <f t="shared" si="11"/>
        <v>718</v>
      </c>
      <c r="B722" s="74"/>
      <c r="C722" s="52"/>
      <c r="D722" s="52"/>
      <c r="E722" s="55"/>
    </row>
    <row r="723" spans="1:5" x14ac:dyDescent="0.25">
      <c r="A723" s="79">
        <f t="shared" si="11"/>
        <v>719</v>
      </c>
      <c r="B723" s="74"/>
      <c r="C723" s="52"/>
      <c r="D723" s="52"/>
      <c r="E723" s="55"/>
    </row>
    <row r="724" spans="1:5" x14ac:dyDescent="0.25">
      <c r="A724" s="79">
        <f t="shared" si="11"/>
        <v>720</v>
      </c>
      <c r="B724" s="74"/>
      <c r="C724" s="52"/>
      <c r="D724" s="52"/>
      <c r="E724" s="55"/>
    </row>
    <row r="725" spans="1:5" x14ac:dyDescent="0.25">
      <c r="A725" s="79">
        <f t="shared" si="11"/>
        <v>721</v>
      </c>
      <c r="B725" s="74"/>
      <c r="C725" s="52"/>
      <c r="D725" s="52"/>
      <c r="E725" s="55"/>
    </row>
    <row r="726" spans="1:5" x14ac:dyDescent="0.25">
      <c r="A726" s="79">
        <f t="shared" si="11"/>
        <v>722</v>
      </c>
      <c r="B726" s="74"/>
      <c r="C726" s="52"/>
      <c r="D726" s="52"/>
      <c r="E726" s="55"/>
    </row>
    <row r="727" spans="1:5" x14ac:dyDescent="0.25">
      <c r="A727" s="79">
        <f t="shared" si="11"/>
        <v>723</v>
      </c>
      <c r="B727" s="74"/>
      <c r="C727" s="52"/>
      <c r="D727" s="52"/>
      <c r="E727" s="55"/>
    </row>
    <row r="728" spans="1:5" x14ac:dyDescent="0.25">
      <c r="A728" s="79">
        <f t="shared" si="11"/>
        <v>724</v>
      </c>
      <c r="B728" s="74"/>
      <c r="C728" s="52"/>
      <c r="D728" s="52"/>
      <c r="E728" s="55"/>
    </row>
    <row r="729" spans="1:5" x14ac:dyDescent="0.25">
      <c r="A729" s="79">
        <f t="shared" si="11"/>
        <v>725</v>
      </c>
      <c r="B729" s="74"/>
      <c r="C729" s="52"/>
      <c r="D729" s="52"/>
      <c r="E729" s="55"/>
    </row>
    <row r="730" spans="1:5" x14ac:dyDescent="0.25">
      <c r="A730" s="79">
        <f t="shared" si="11"/>
        <v>726</v>
      </c>
      <c r="B730" s="74"/>
      <c r="C730" s="52"/>
      <c r="D730" s="52"/>
      <c r="E730" s="55"/>
    </row>
    <row r="731" spans="1:5" x14ac:dyDescent="0.25">
      <c r="A731" s="79">
        <f t="shared" si="11"/>
        <v>727</v>
      </c>
      <c r="B731" s="74"/>
      <c r="C731" s="52"/>
      <c r="D731" s="52"/>
      <c r="E731" s="55"/>
    </row>
    <row r="732" spans="1:5" x14ac:dyDescent="0.25">
      <c r="A732" s="79">
        <f t="shared" si="11"/>
        <v>728</v>
      </c>
      <c r="B732" s="74"/>
      <c r="C732" s="52"/>
      <c r="D732" s="52"/>
      <c r="E732" s="55"/>
    </row>
    <row r="733" spans="1:5" x14ac:dyDescent="0.25">
      <c r="A733" s="79">
        <f t="shared" si="11"/>
        <v>729</v>
      </c>
      <c r="B733" s="74"/>
      <c r="C733" s="52"/>
      <c r="D733" s="52"/>
      <c r="E733" s="55"/>
    </row>
    <row r="734" spans="1:5" x14ac:dyDescent="0.25">
      <c r="A734" s="79">
        <f t="shared" si="11"/>
        <v>730</v>
      </c>
      <c r="B734" s="74"/>
      <c r="C734" s="52"/>
      <c r="D734" s="52"/>
      <c r="E734" s="55"/>
    </row>
    <row r="735" spans="1:5" x14ac:dyDescent="0.25">
      <c r="A735" s="79">
        <f t="shared" si="11"/>
        <v>731</v>
      </c>
      <c r="B735" s="74"/>
      <c r="C735" s="52"/>
      <c r="D735" s="52"/>
      <c r="E735" s="55"/>
    </row>
    <row r="736" spans="1:5" x14ac:dyDescent="0.25">
      <c r="A736" s="79">
        <f t="shared" si="11"/>
        <v>732</v>
      </c>
      <c r="B736" s="74"/>
      <c r="C736" s="52"/>
      <c r="D736" s="52"/>
      <c r="E736" s="55"/>
    </row>
    <row r="737" spans="1:5" x14ac:dyDescent="0.25">
      <c r="A737" s="79">
        <f t="shared" si="11"/>
        <v>733</v>
      </c>
      <c r="B737" s="74"/>
      <c r="C737" s="52"/>
      <c r="D737" s="52"/>
      <c r="E737" s="55"/>
    </row>
    <row r="738" spans="1:5" x14ac:dyDescent="0.25">
      <c r="A738" s="79">
        <f t="shared" si="11"/>
        <v>734</v>
      </c>
      <c r="B738" s="74"/>
      <c r="C738" s="52"/>
      <c r="D738" s="52"/>
      <c r="E738" s="55"/>
    </row>
    <row r="739" spans="1:5" x14ac:dyDescent="0.25">
      <c r="A739" s="79">
        <f t="shared" si="11"/>
        <v>735</v>
      </c>
      <c r="B739" s="74"/>
      <c r="C739" s="52"/>
      <c r="D739" s="52"/>
      <c r="E739" s="55"/>
    </row>
    <row r="740" spans="1:5" x14ac:dyDescent="0.25">
      <c r="A740" s="79">
        <f t="shared" si="11"/>
        <v>736</v>
      </c>
      <c r="B740" s="74"/>
      <c r="C740" s="52"/>
      <c r="D740" s="52"/>
      <c r="E740" s="55"/>
    </row>
    <row r="741" spans="1:5" x14ac:dyDescent="0.25">
      <c r="A741" s="79">
        <f t="shared" si="11"/>
        <v>737</v>
      </c>
      <c r="B741" s="74"/>
      <c r="C741" s="52"/>
      <c r="D741" s="52"/>
      <c r="E741" s="55"/>
    </row>
    <row r="742" spans="1:5" x14ac:dyDescent="0.25">
      <c r="A742" s="79">
        <f t="shared" si="11"/>
        <v>738</v>
      </c>
      <c r="B742" s="74"/>
      <c r="C742" s="52"/>
      <c r="D742" s="52"/>
      <c r="E742" s="55"/>
    </row>
    <row r="743" spans="1:5" x14ac:dyDescent="0.25">
      <c r="A743" s="79">
        <f t="shared" si="11"/>
        <v>739</v>
      </c>
      <c r="B743" s="74"/>
      <c r="C743" s="52"/>
      <c r="D743" s="52"/>
      <c r="E743" s="55"/>
    </row>
    <row r="744" spans="1:5" x14ac:dyDescent="0.25">
      <c r="A744" s="79">
        <f t="shared" si="11"/>
        <v>740</v>
      </c>
      <c r="B744" s="74"/>
      <c r="C744" s="52"/>
      <c r="D744" s="52"/>
      <c r="E744" s="55"/>
    </row>
    <row r="745" spans="1:5" x14ac:dyDescent="0.25">
      <c r="A745" s="79">
        <f t="shared" si="11"/>
        <v>741</v>
      </c>
      <c r="B745" s="74"/>
      <c r="C745" s="52"/>
      <c r="D745" s="52"/>
      <c r="E745" s="55"/>
    </row>
    <row r="746" spans="1:5" x14ac:dyDescent="0.25">
      <c r="A746" s="79">
        <f t="shared" si="11"/>
        <v>742</v>
      </c>
      <c r="B746" s="74"/>
      <c r="C746" s="52"/>
      <c r="D746" s="52"/>
      <c r="E746" s="55"/>
    </row>
    <row r="747" spans="1:5" x14ac:dyDescent="0.25">
      <c r="A747" s="79">
        <f t="shared" si="11"/>
        <v>743</v>
      </c>
      <c r="B747" s="74"/>
      <c r="C747" s="52"/>
      <c r="D747" s="52"/>
      <c r="E747" s="55"/>
    </row>
    <row r="748" spans="1:5" x14ac:dyDescent="0.25">
      <c r="A748" s="79">
        <f t="shared" si="11"/>
        <v>744</v>
      </c>
      <c r="B748" s="74"/>
      <c r="C748" s="52"/>
      <c r="D748" s="52"/>
      <c r="E748" s="55"/>
    </row>
    <row r="749" spans="1:5" x14ac:dyDescent="0.25">
      <c r="A749" s="79">
        <f t="shared" si="11"/>
        <v>745</v>
      </c>
      <c r="B749" s="74"/>
      <c r="C749" s="52"/>
      <c r="D749" s="52"/>
      <c r="E749" s="55"/>
    </row>
    <row r="750" spans="1:5" x14ac:dyDescent="0.25">
      <c r="A750" s="79">
        <f t="shared" si="11"/>
        <v>746</v>
      </c>
      <c r="B750" s="74"/>
      <c r="C750" s="52"/>
      <c r="D750" s="52"/>
      <c r="E750" s="55"/>
    </row>
    <row r="751" spans="1:5" x14ac:dyDescent="0.25">
      <c r="A751" s="79">
        <f t="shared" si="11"/>
        <v>747</v>
      </c>
      <c r="B751" s="74"/>
      <c r="C751" s="52"/>
      <c r="D751" s="52"/>
      <c r="E751" s="55"/>
    </row>
    <row r="752" spans="1:5" x14ac:dyDescent="0.25">
      <c r="A752" s="79">
        <f t="shared" si="11"/>
        <v>748</v>
      </c>
      <c r="B752" s="74"/>
      <c r="C752" s="52"/>
      <c r="D752" s="52"/>
      <c r="E752" s="55"/>
    </row>
    <row r="753" spans="1:5" x14ac:dyDescent="0.25">
      <c r="A753" s="79">
        <f t="shared" si="11"/>
        <v>749</v>
      </c>
      <c r="B753" s="74"/>
      <c r="C753" s="52"/>
      <c r="D753" s="52"/>
      <c r="E753" s="55"/>
    </row>
    <row r="754" spans="1:5" x14ac:dyDescent="0.25">
      <c r="A754" s="79">
        <f t="shared" si="11"/>
        <v>750</v>
      </c>
      <c r="B754" s="74"/>
      <c r="C754" s="52"/>
      <c r="D754" s="52"/>
      <c r="E754" s="55"/>
    </row>
    <row r="755" spans="1:5" x14ac:dyDescent="0.25">
      <c r="A755" s="79">
        <f t="shared" si="11"/>
        <v>751</v>
      </c>
      <c r="B755" s="74"/>
      <c r="C755" s="52"/>
      <c r="D755" s="52"/>
      <c r="E755" s="55"/>
    </row>
    <row r="756" spans="1:5" x14ac:dyDescent="0.25">
      <c r="A756" s="79">
        <f t="shared" si="11"/>
        <v>752</v>
      </c>
      <c r="B756" s="74"/>
      <c r="C756" s="52"/>
      <c r="D756" s="52"/>
      <c r="E756" s="55"/>
    </row>
    <row r="757" spans="1:5" x14ac:dyDescent="0.25">
      <c r="A757" s="79">
        <f t="shared" si="11"/>
        <v>753</v>
      </c>
      <c r="B757" s="74"/>
      <c r="C757" s="52"/>
      <c r="D757" s="52"/>
      <c r="E757" s="55"/>
    </row>
    <row r="758" spans="1:5" x14ac:dyDescent="0.25">
      <c r="A758" s="79">
        <f t="shared" si="11"/>
        <v>754</v>
      </c>
      <c r="B758" s="74"/>
      <c r="C758" s="52"/>
      <c r="D758" s="52"/>
      <c r="E758" s="55"/>
    </row>
    <row r="759" spans="1:5" x14ac:dyDescent="0.25">
      <c r="A759" s="79">
        <f t="shared" si="11"/>
        <v>755</v>
      </c>
      <c r="B759" s="74"/>
      <c r="C759" s="52"/>
      <c r="D759" s="52"/>
      <c r="E759" s="55"/>
    </row>
    <row r="760" spans="1:5" x14ac:dyDescent="0.25">
      <c r="A760" s="79">
        <f t="shared" si="11"/>
        <v>756</v>
      </c>
      <c r="B760" s="74"/>
      <c r="C760" s="52"/>
      <c r="D760" s="52"/>
      <c r="E760" s="55"/>
    </row>
    <row r="761" spans="1:5" x14ac:dyDescent="0.25">
      <c r="A761" s="79">
        <f t="shared" si="11"/>
        <v>757</v>
      </c>
      <c r="B761" s="74"/>
      <c r="C761" s="52"/>
      <c r="D761" s="52"/>
      <c r="E761" s="55"/>
    </row>
    <row r="762" spans="1:5" x14ac:dyDescent="0.25">
      <c r="A762" s="79">
        <f t="shared" si="11"/>
        <v>758</v>
      </c>
      <c r="B762" s="74"/>
      <c r="C762" s="52"/>
      <c r="D762" s="52"/>
      <c r="E762" s="55"/>
    </row>
    <row r="763" spans="1:5" x14ac:dyDescent="0.25">
      <c r="A763" s="79">
        <f t="shared" si="11"/>
        <v>759</v>
      </c>
      <c r="B763" s="74"/>
      <c r="C763" s="52"/>
      <c r="D763" s="52"/>
      <c r="E763" s="55"/>
    </row>
    <row r="764" spans="1:5" x14ac:dyDescent="0.25">
      <c r="A764" s="79">
        <f t="shared" si="11"/>
        <v>760</v>
      </c>
      <c r="B764" s="74"/>
      <c r="C764" s="52"/>
      <c r="D764" s="52"/>
      <c r="E764" s="55"/>
    </row>
    <row r="765" spans="1:5" x14ac:dyDescent="0.25">
      <c r="A765" s="79">
        <f t="shared" si="11"/>
        <v>761</v>
      </c>
      <c r="B765" s="74"/>
      <c r="C765" s="52"/>
      <c r="D765" s="52"/>
      <c r="E765" s="55"/>
    </row>
    <row r="766" spans="1:5" x14ac:dyDescent="0.25">
      <c r="A766" s="79">
        <f t="shared" si="11"/>
        <v>762</v>
      </c>
      <c r="B766" s="74"/>
      <c r="C766" s="52"/>
      <c r="D766" s="52"/>
      <c r="E766" s="55"/>
    </row>
    <row r="767" spans="1:5" x14ac:dyDescent="0.25">
      <c r="A767" s="79">
        <f t="shared" si="11"/>
        <v>763</v>
      </c>
      <c r="B767" s="74"/>
      <c r="C767" s="52"/>
      <c r="D767" s="52"/>
      <c r="E767" s="55"/>
    </row>
    <row r="768" spans="1:5" x14ac:dyDescent="0.25">
      <c r="A768" s="79">
        <f t="shared" si="11"/>
        <v>764</v>
      </c>
      <c r="B768" s="74"/>
      <c r="C768" s="52"/>
      <c r="D768" s="52"/>
      <c r="E768" s="55"/>
    </row>
    <row r="769" spans="1:5" x14ac:dyDescent="0.25">
      <c r="A769" s="79">
        <f t="shared" si="11"/>
        <v>765</v>
      </c>
      <c r="B769" s="74"/>
      <c r="C769" s="52"/>
      <c r="D769" s="52"/>
      <c r="E769" s="55"/>
    </row>
    <row r="770" spans="1:5" x14ac:dyDescent="0.25">
      <c r="A770" s="79">
        <f t="shared" si="11"/>
        <v>766</v>
      </c>
      <c r="B770" s="74"/>
      <c r="C770" s="52"/>
      <c r="D770" s="52"/>
      <c r="E770" s="55"/>
    </row>
    <row r="771" spans="1:5" x14ac:dyDescent="0.25">
      <c r="A771" s="79">
        <f t="shared" si="11"/>
        <v>767</v>
      </c>
      <c r="B771" s="74"/>
      <c r="C771" s="52"/>
      <c r="D771" s="52"/>
      <c r="E771" s="55"/>
    </row>
    <row r="772" spans="1:5" x14ac:dyDescent="0.25">
      <c r="A772" s="79">
        <f t="shared" si="11"/>
        <v>768</v>
      </c>
      <c r="B772" s="74"/>
      <c r="C772" s="52"/>
      <c r="D772" s="52"/>
      <c r="E772" s="55"/>
    </row>
    <row r="773" spans="1:5" x14ac:dyDescent="0.25">
      <c r="A773" s="79">
        <f t="shared" ref="A773:A836" si="12">ROW()-4</f>
        <v>769</v>
      </c>
      <c r="B773" s="74"/>
      <c r="C773" s="52"/>
      <c r="D773" s="52"/>
      <c r="E773" s="55"/>
    </row>
    <row r="774" spans="1:5" x14ac:dyDescent="0.25">
      <c r="A774" s="79">
        <f t="shared" si="12"/>
        <v>770</v>
      </c>
      <c r="B774" s="74"/>
      <c r="C774" s="52"/>
      <c r="D774" s="52"/>
      <c r="E774" s="55"/>
    </row>
    <row r="775" spans="1:5" x14ac:dyDescent="0.25">
      <c r="A775" s="79">
        <f t="shared" si="12"/>
        <v>771</v>
      </c>
      <c r="B775" s="74"/>
      <c r="C775" s="52"/>
      <c r="D775" s="52"/>
      <c r="E775" s="55"/>
    </row>
    <row r="776" spans="1:5" x14ac:dyDescent="0.25">
      <c r="A776" s="79">
        <f t="shared" si="12"/>
        <v>772</v>
      </c>
      <c r="B776" s="74"/>
      <c r="C776" s="52"/>
      <c r="D776" s="52"/>
      <c r="E776" s="55"/>
    </row>
    <row r="777" spans="1:5" x14ac:dyDescent="0.25">
      <c r="A777" s="79">
        <f t="shared" si="12"/>
        <v>773</v>
      </c>
      <c r="B777" s="74"/>
      <c r="C777" s="52"/>
      <c r="D777" s="52"/>
      <c r="E777" s="55"/>
    </row>
    <row r="778" spans="1:5" x14ac:dyDescent="0.25">
      <c r="A778" s="79">
        <f t="shared" si="12"/>
        <v>774</v>
      </c>
      <c r="B778" s="74"/>
      <c r="C778" s="52"/>
      <c r="D778" s="52"/>
      <c r="E778" s="55"/>
    </row>
    <row r="779" spans="1:5" x14ac:dyDescent="0.25">
      <c r="A779" s="79">
        <f t="shared" si="12"/>
        <v>775</v>
      </c>
      <c r="B779" s="74"/>
      <c r="C779" s="52"/>
      <c r="D779" s="52"/>
      <c r="E779" s="55"/>
    </row>
    <row r="780" spans="1:5" x14ac:dyDescent="0.25">
      <c r="A780" s="79">
        <f t="shared" si="12"/>
        <v>776</v>
      </c>
      <c r="B780" s="74"/>
      <c r="C780" s="52"/>
      <c r="D780" s="52"/>
      <c r="E780" s="55"/>
    </row>
    <row r="781" spans="1:5" x14ac:dyDescent="0.25">
      <c r="A781" s="79">
        <f t="shared" si="12"/>
        <v>777</v>
      </c>
      <c r="B781" s="74"/>
      <c r="C781" s="52"/>
      <c r="D781" s="52"/>
      <c r="E781" s="55"/>
    </row>
    <row r="782" spans="1:5" x14ac:dyDescent="0.25">
      <c r="A782" s="79">
        <f t="shared" si="12"/>
        <v>778</v>
      </c>
      <c r="B782" s="74"/>
      <c r="C782" s="52"/>
      <c r="D782" s="52"/>
      <c r="E782" s="55"/>
    </row>
    <row r="783" spans="1:5" x14ac:dyDescent="0.25">
      <c r="A783" s="79">
        <f t="shared" si="12"/>
        <v>779</v>
      </c>
      <c r="B783" s="74"/>
      <c r="C783" s="52"/>
      <c r="D783" s="52"/>
      <c r="E783" s="55"/>
    </row>
    <row r="784" spans="1:5" x14ac:dyDescent="0.25">
      <c r="A784" s="79">
        <f t="shared" si="12"/>
        <v>780</v>
      </c>
      <c r="B784" s="74"/>
      <c r="C784" s="52"/>
      <c r="D784" s="52"/>
      <c r="E784" s="55"/>
    </row>
    <row r="785" spans="1:5" x14ac:dyDescent="0.25">
      <c r="A785" s="79">
        <f t="shared" si="12"/>
        <v>781</v>
      </c>
      <c r="B785" s="74"/>
      <c r="C785" s="52"/>
      <c r="D785" s="52"/>
      <c r="E785" s="55"/>
    </row>
    <row r="786" spans="1:5" x14ac:dyDescent="0.25">
      <c r="A786" s="79">
        <f t="shared" si="12"/>
        <v>782</v>
      </c>
      <c r="B786" s="74"/>
      <c r="C786" s="52"/>
      <c r="D786" s="52"/>
      <c r="E786" s="55"/>
    </row>
    <row r="787" spans="1:5" x14ac:dyDescent="0.25">
      <c r="A787" s="79">
        <f t="shared" si="12"/>
        <v>783</v>
      </c>
      <c r="B787" s="74"/>
      <c r="C787" s="52"/>
      <c r="D787" s="52"/>
      <c r="E787" s="55"/>
    </row>
    <row r="788" spans="1:5" x14ac:dyDescent="0.25">
      <c r="A788" s="79">
        <f t="shared" si="12"/>
        <v>784</v>
      </c>
      <c r="B788" s="74"/>
      <c r="C788" s="52"/>
      <c r="D788" s="52"/>
      <c r="E788" s="55"/>
    </row>
    <row r="789" spans="1:5" x14ac:dyDescent="0.25">
      <c r="A789" s="79">
        <f t="shared" si="12"/>
        <v>785</v>
      </c>
      <c r="B789" s="74"/>
      <c r="C789" s="52"/>
      <c r="D789" s="52"/>
      <c r="E789" s="55"/>
    </row>
    <row r="790" spans="1:5" x14ac:dyDescent="0.25">
      <c r="A790" s="79">
        <f t="shared" si="12"/>
        <v>786</v>
      </c>
      <c r="B790" s="74"/>
      <c r="C790" s="52"/>
      <c r="D790" s="52"/>
      <c r="E790" s="55"/>
    </row>
    <row r="791" spans="1:5" x14ac:dyDescent="0.25">
      <c r="A791" s="79">
        <f t="shared" si="12"/>
        <v>787</v>
      </c>
      <c r="B791" s="74"/>
      <c r="C791" s="52"/>
      <c r="D791" s="52"/>
      <c r="E791" s="55"/>
    </row>
    <row r="792" spans="1:5" x14ac:dyDescent="0.25">
      <c r="A792" s="79">
        <f t="shared" si="12"/>
        <v>788</v>
      </c>
      <c r="B792" s="74"/>
      <c r="C792" s="52"/>
      <c r="D792" s="52"/>
      <c r="E792" s="55"/>
    </row>
    <row r="793" spans="1:5" x14ac:dyDescent="0.25">
      <c r="A793" s="79">
        <f t="shared" si="12"/>
        <v>789</v>
      </c>
      <c r="B793" s="74"/>
      <c r="C793" s="52"/>
      <c r="D793" s="52"/>
      <c r="E793" s="55"/>
    </row>
    <row r="794" spans="1:5" x14ac:dyDescent="0.25">
      <c r="A794" s="79">
        <f t="shared" si="12"/>
        <v>790</v>
      </c>
      <c r="B794" s="74"/>
      <c r="C794" s="52"/>
      <c r="D794" s="52"/>
      <c r="E794" s="55"/>
    </row>
    <row r="795" spans="1:5" x14ac:dyDescent="0.25">
      <c r="A795" s="79">
        <f t="shared" si="12"/>
        <v>791</v>
      </c>
      <c r="B795" s="74"/>
      <c r="C795" s="52"/>
      <c r="D795" s="52"/>
      <c r="E795" s="55"/>
    </row>
    <row r="796" spans="1:5" x14ac:dyDescent="0.25">
      <c r="A796" s="79">
        <f t="shared" si="12"/>
        <v>792</v>
      </c>
      <c r="B796" s="74"/>
      <c r="C796" s="52"/>
      <c r="D796" s="52"/>
      <c r="E796" s="55"/>
    </row>
    <row r="797" spans="1:5" x14ac:dyDescent="0.25">
      <c r="A797" s="79">
        <f t="shared" si="12"/>
        <v>793</v>
      </c>
      <c r="B797" s="74"/>
      <c r="C797" s="52"/>
      <c r="D797" s="52"/>
      <c r="E797" s="55"/>
    </row>
    <row r="798" spans="1:5" x14ac:dyDescent="0.25">
      <c r="A798" s="79">
        <f t="shared" si="12"/>
        <v>794</v>
      </c>
      <c r="B798" s="74"/>
      <c r="C798" s="52"/>
      <c r="D798" s="52"/>
      <c r="E798" s="55"/>
    </row>
    <row r="799" spans="1:5" x14ac:dyDescent="0.25">
      <c r="A799" s="79">
        <f t="shared" si="12"/>
        <v>795</v>
      </c>
      <c r="B799" s="74"/>
      <c r="C799" s="52"/>
      <c r="D799" s="52"/>
      <c r="E799" s="55"/>
    </row>
    <row r="800" spans="1:5" x14ac:dyDescent="0.25">
      <c r="A800" s="79">
        <f t="shared" si="12"/>
        <v>796</v>
      </c>
      <c r="B800" s="74"/>
      <c r="C800" s="52"/>
      <c r="D800" s="52"/>
      <c r="E800" s="55"/>
    </row>
    <row r="801" spans="1:5" x14ac:dyDescent="0.25">
      <c r="A801" s="79">
        <f t="shared" si="12"/>
        <v>797</v>
      </c>
      <c r="B801" s="74"/>
      <c r="C801" s="52"/>
      <c r="D801" s="52"/>
      <c r="E801" s="55"/>
    </row>
    <row r="802" spans="1:5" x14ac:dyDescent="0.25">
      <c r="A802" s="79">
        <f t="shared" si="12"/>
        <v>798</v>
      </c>
      <c r="B802" s="74"/>
      <c r="C802" s="52"/>
      <c r="D802" s="52"/>
      <c r="E802" s="55"/>
    </row>
    <row r="803" spans="1:5" x14ac:dyDescent="0.25">
      <c r="A803" s="79">
        <f t="shared" si="12"/>
        <v>799</v>
      </c>
      <c r="B803" s="74"/>
      <c r="C803" s="52"/>
      <c r="D803" s="52"/>
      <c r="E803" s="55"/>
    </row>
    <row r="804" spans="1:5" x14ac:dyDescent="0.25">
      <c r="A804" s="79">
        <f t="shared" si="12"/>
        <v>800</v>
      </c>
      <c r="B804" s="74"/>
      <c r="C804" s="52"/>
      <c r="D804" s="52"/>
      <c r="E804" s="55"/>
    </row>
    <row r="805" spans="1:5" x14ac:dyDescent="0.25">
      <c r="A805" s="79">
        <f t="shared" si="12"/>
        <v>801</v>
      </c>
      <c r="B805" s="74"/>
      <c r="C805" s="52"/>
      <c r="D805" s="52"/>
      <c r="E805" s="55"/>
    </row>
    <row r="806" spans="1:5" x14ac:dyDescent="0.25">
      <c r="A806" s="79">
        <f t="shared" si="12"/>
        <v>802</v>
      </c>
      <c r="B806" s="74"/>
      <c r="C806" s="52"/>
      <c r="D806" s="52"/>
      <c r="E806" s="55"/>
    </row>
    <row r="807" spans="1:5" x14ac:dyDescent="0.25">
      <c r="A807" s="79">
        <f t="shared" si="12"/>
        <v>803</v>
      </c>
      <c r="B807" s="74"/>
      <c r="C807" s="52"/>
      <c r="D807" s="52"/>
      <c r="E807" s="55"/>
    </row>
    <row r="808" spans="1:5" x14ac:dyDescent="0.25">
      <c r="A808" s="79">
        <f t="shared" si="12"/>
        <v>804</v>
      </c>
      <c r="B808" s="74"/>
      <c r="C808" s="52"/>
      <c r="D808" s="52"/>
      <c r="E808" s="55"/>
    </row>
    <row r="809" spans="1:5" x14ac:dyDescent="0.25">
      <c r="A809" s="79">
        <f t="shared" si="12"/>
        <v>805</v>
      </c>
      <c r="B809" s="74"/>
      <c r="C809" s="52"/>
      <c r="D809" s="52"/>
      <c r="E809" s="55"/>
    </row>
    <row r="810" spans="1:5" x14ac:dyDescent="0.25">
      <c r="A810" s="79">
        <f t="shared" si="12"/>
        <v>806</v>
      </c>
      <c r="B810" s="74"/>
      <c r="C810" s="52"/>
      <c r="D810" s="52"/>
      <c r="E810" s="55"/>
    </row>
    <row r="811" spans="1:5" x14ac:dyDescent="0.25">
      <c r="A811" s="79">
        <f t="shared" si="12"/>
        <v>807</v>
      </c>
      <c r="B811" s="74"/>
      <c r="C811" s="52"/>
      <c r="D811" s="52"/>
      <c r="E811" s="55"/>
    </row>
    <row r="812" spans="1:5" x14ac:dyDescent="0.25">
      <c r="A812" s="79">
        <f t="shared" si="12"/>
        <v>808</v>
      </c>
      <c r="B812" s="74"/>
      <c r="C812" s="52"/>
      <c r="D812" s="52"/>
      <c r="E812" s="55"/>
    </row>
    <row r="813" spans="1:5" x14ac:dyDescent="0.25">
      <c r="A813" s="79">
        <f t="shared" si="12"/>
        <v>809</v>
      </c>
      <c r="B813" s="74"/>
      <c r="C813" s="52"/>
      <c r="D813" s="52"/>
      <c r="E813" s="55"/>
    </row>
    <row r="814" spans="1:5" x14ac:dyDescent="0.25">
      <c r="A814" s="79">
        <f t="shared" si="12"/>
        <v>810</v>
      </c>
      <c r="B814" s="74"/>
      <c r="C814" s="52"/>
      <c r="D814" s="52"/>
      <c r="E814" s="55"/>
    </row>
    <row r="815" spans="1:5" x14ac:dyDescent="0.25">
      <c r="A815" s="79">
        <f t="shared" si="12"/>
        <v>811</v>
      </c>
      <c r="B815" s="74"/>
      <c r="C815" s="52"/>
      <c r="D815" s="52"/>
      <c r="E815" s="55"/>
    </row>
    <row r="816" spans="1:5" x14ac:dyDescent="0.25">
      <c r="A816" s="79">
        <f t="shared" si="12"/>
        <v>812</v>
      </c>
      <c r="B816" s="74"/>
      <c r="C816" s="52"/>
      <c r="D816" s="52"/>
      <c r="E816" s="55"/>
    </row>
    <row r="817" spans="1:5" x14ac:dyDescent="0.25">
      <c r="A817" s="79">
        <f t="shared" si="12"/>
        <v>813</v>
      </c>
      <c r="B817" s="74"/>
      <c r="C817" s="52"/>
      <c r="D817" s="52"/>
      <c r="E817" s="55"/>
    </row>
    <row r="818" spans="1:5" x14ac:dyDescent="0.25">
      <c r="A818" s="79">
        <f t="shared" si="12"/>
        <v>814</v>
      </c>
      <c r="B818" s="74"/>
      <c r="C818" s="52"/>
      <c r="D818" s="52"/>
      <c r="E818" s="55"/>
    </row>
    <row r="819" spans="1:5" x14ac:dyDescent="0.25">
      <c r="A819" s="79">
        <f t="shared" si="12"/>
        <v>815</v>
      </c>
      <c r="B819" s="74"/>
      <c r="C819" s="52"/>
      <c r="D819" s="52"/>
      <c r="E819" s="55"/>
    </row>
    <row r="820" spans="1:5" x14ac:dyDescent="0.25">
      <c r="A820" s="79">
        <f t="shared" si="12"/>
        <v>816</v>
      </c>
      <c r="B820" s="74"/>
      <c r="C820" s="52"/>
      <c r="D820" s="52"/>
      <c r="E820" s="55"/>
    </row>
    <row r="821" spans="1:5" x14ac:dyDescent="0.25">
      <c r="A821" s="79">
        <f t="shared" si="12"/>
        <v>817</v>
      </c>
      <c r="B821" s="74"/>
      <c r="C821" s="52"/>
      <c r="D821" s="52"/>
      <c r="E821" s="55"/>
    </row>
    <row r="822" spans="1:5" x14ac:dyDescent="0.25">
      <c r="A822" s="79">
        <f t="shared" si="12"/>
        <v>818</v>
      </c>
      <c r="B822" s="74"/>
      <c r="C822" s="52"/>
      <c r="D822" s="52"/>
      <c r="E822" s="55"/>
    </row>
    <row r="823" spans="1:5" x14ac:dyDescent="0.25">
      <c r="A823" s="79">
        <f t="shared" si="12"/>
        <v>819</v>
      </c>
      <c r="B823" s="74"/>
      <c r="C823" s="52"/>
      <c r="D823" s="52"/>
      <c r="E823" s="55"/>
    </row>
    <row r="824" spans="1:5" x14ac:dyDescent="0.25">
      <c r="A824" s="79">
        <f t="shared" si="12"/>
        <v>820</v>
      </c>
      <c r="B824" s="74"/>
      <c r="C824" s="52"/>
      <c r="D824" s="52"/>
      <c r="E824" s="55"/>
    </row>
    <row r="825" spans="1:5" x14ac:dyDescent="0.25">
      <c r="A825" s="79">
        <f t="shared" si="12"/>
        <v>821</v>
      </c>
      <c r="B825" s="74"/>
      <c r="C825" s="52"/>
      <c r="D825" s="52"/>
      <c r="E825" s="55"/>
    </row>
    <row r="826" spans="1:5" x14ac:dyDescent="0.25">
      <c r="A826" s="79">
        <f t="shared" si="12"/>
        <v>822</v>
      </c>
      <c r="B826" s="74"/>
      <c r="C826" s="52"/>
      <c r="D826" s="52"/>
      <c r="E826" s="55"/>
    </row>
    <row r="827" spans="1:5" x14ac:dyDescent="0.25">
      <c r="A827" s="79">
        <f t="shared" si="12"/>
        <v>823</v>
      </c>
      <c r="B827" s="74"/>
      <c r="C827" s="52"/>
      <c r="D827" s="52"/>
      <c r="E827" s="55"/>
    </row>
    <row r="828" spans="1:5" x14ac:dyDescent="0.25">
      <c r="A828" s="79">
        <f t="shared" si="12"/>
        <v>824</v>
      </c>
      <c r="B828" s="74"/>
      <c r="C828" s="52"/>
      <c r="D828" s="52"/>
      <c r="E828" s="55"/>
    </row>
    <row r="829" spans="1:5" x14ac:dyDescent="0.25">
      <c r="A829" s="79">
        <f t="shared" si="12"/>
        <v>825</v>
      </c>
      <c r="B829" s="74"/>
      <c r="C829" s="52"/>
      <c r="D829" s="52"/>
      <c r="E829" s="55"/>
    </row>
    <row r="830" spans="1:5" x14ac:dyDescent="0.25">
      <c r="A830" s="79">
        <f t="shared" si="12"/>
        <v>826</v>
      </c>
      <c r="B830" s="74"/>
      <c r="C830" s="52"/>
      <c r="D830" s="52"/>
      <c r="E830" s="55"/>
    </row>
    <row r="831" spans="1:5" x14ac:dyDescent="0.25">
      <c r="A831" s="79">
        <f t="shared" si="12"/>
        <v>827</v>
      </c>
      <c r="B831" s="74"/>
      <c r="C831" s="52"/>
      <c r="D831" s="52"/>
      <c r="E831" s="55"/>
    </row>
    <row r="832" spans="1:5" x14ac:dyDescent="0.25">
      <c r="A832" s="79">
        <f t="shared" si="12"/>
        <v>828</v>
      </c>
      <c r="B832" s="74"/>
      <c r="C832" s="52"/>
      <c r="D832" s="52"/>
      <c r="E832" s="55"/>
    </row>
    <row r="833" spans="1:5" x14ac:dyDescent="0.25">
      <c r="A833" s="79">
        <f t="shared" si="12"/>
        <v>829</v>
      </c>
      <c r="B833" s="74"/>
      <c r="C833" s="52"/>
      <c r="D833" s="52"/>
      <c r="E833" s="55"/>
    </row>
    <row r="834" spans="1:5" x14ac:dyDescent="0.25">
      <c r="A834" s="79">
        <f t="shared" si="12"/>
        <v>830</v>
      </c>
      <c r="B834" s="74"/>
      <c r="C834" s="52"/>
      <c r="D834" s="52"/>
      <c r="E834" s="55"/>
    </row>
    <row r="835" spans="1:5" x14ac:dyDescent="0.25">
      <c r="A835" s="79">
        <f t="shared" si="12"/>
        <v>831</v>
      </c>
      <c r="B835" s="74"/>
      <c r="C835" s="52"/>
      <c r="D835" s="52"/>
      <c r="E835" s="55"/>
    </row>
    <row r="836" spans="1:5" x14ac:dyDescent="0.25">
      <c r="A836" s="79">
        <f t="shared" si="12"/>
        <v>832</v>
      </c>
      <c r="B836" s="74"/>
      <c r="C836" s="52"/>
      <c r="D836" s="52"/>
      <c r="E836" s="55"/>
    </row>
    <row r="837" spans="1:5" x14ac:dyDescent="0.25">
      <c r="A837" s="79">
        <f t="shared" ref="A837:A900" si="13">ROW()-4</f>
        <v>833</v>
      </c>
      <c r="B837" s="74"/>
      <c r="C837" s="52"/>
      <c r="D837" s="52"/>
      <c r="E837" s="55"/>
    </row>
    <row r="838" spans="1:5" x14ac:dyDescent="0.25">
      <c r="A838" s="79">
        <f t="shared" si="13"/>
        <v>834</v>
      </c>
      <c r="B838" s="74"/>
      <c r="C838" s="52"/>
      <c r="D838" s="52"/>
      <c r="E838" s="55"/>
    </row>
    <row r="839" spans="1:5" x14ac:dyDescent="0.25">
      <c r="A839" s="79">
        <f t="shared" si="13"/>
        <v>835</v>
      </c>
      <c r="B839" s="74"/>
      <c r="C839" s="52"/>
      <c r="D839" s="52"/>
      <c r="E839" s="55"/>
    </row>
    <row r="840" spans="1:5" x14ac:dyDescent="0.25">
      <c r="A840" s="79">
        <f t="shared" si="13"/>
        <v>836</v>
      </c>
      <c r="B840" s="74"/>
      <c r="C840" s="52"/>
      <c r="D840" s="52"/>
      <c r="E840" s="55"/>
    </row>
    <row r="841" spans="1:5" x14ac:dyDescent="0.25">
      <c r="A841" s="79">
        <f t="shared" si="13"/>
        <v>837</v>
      </c>
      <c r="B841" s="74"/>
      <c r="C841" s="52"/>
      <c r="D841" s="52"/>
      <c r="E841" s="55"/>
    </row>
    <row r="842" spans="1:5" x14ac:dyDescent="0.25">
      <c r="A842" s="79">
        <f t="shared" si="13"/>
        <v>838</v>
      </c>
      <c r="B842" s="74"/>
      <c r="C842" s="52"/>
      <c r="D842" s="52"/>
      <c r="E842" s="55"/>
    </row>
    <row r="843" spans="1:5" x14ac:dyDescent="0.25">
      <c r="A843" s="79">
        <f t="shared" si="13"/>
        <v>839</v>
      </c>
      <c r="B843" s="74"/>
      <c r="C843" s="52"/>
      <c r="D843" s="52"/>
      <c r="E843" s="55"/>
    </row>
    <row r="844" spans="1:5" x14ac:dyDescent="0.25">
      <c r="A844" s="79">
        <f t="shared" si="13"/>
        <v>840</v>
      </c>
      <c r="B844" s="74"/>
      <c r="C844" s="52"/>
      <c r="D844" s="52"/>
      <c r="E844" s="55"/>
    </row>
    <row r="845" spans="1:5" x14ac:dyDescent="0.25">
      <c r="A845" s="79">
        <f t="shared" si="13"/>
        <v>841</v>
      </c>
      <c r="B845" s="74"/>
      <c r="C845" s="52"/>
      <c r="D845" s="52"/>
      <c r="E845" s="55"/>
    </row>
    <row r="846" spans="1:5" x14ac:dyDescent="0.25">
      <c r="A846" s="79">
        <f t="shared" si="13"/>
        <v>842</v>
      </c>
      <c r="B846" s="74"/>
      <c r="C846" s="52"/>
      <c r="D846" s="52"/>
      <c r="E846" s="55"/>
    </row>
    <row r="847" spans="1:5" x14ac:dyDescent="0.25">
      <c r="A847" s="79">
        <f t="shared" si="13"/>
        <v>843</v>
      </c>
      <c r="B847" s="74"/>
      <c r="C847" s="52"/>
      <c r="D847" s="52"/>
      <c r="E847" s="55"/>
    </row>
    <row r="848" spans="1:5" x14ac:dyDescent="0.25">
      <c r="A848" s="79">
        <f t="shared" si="13"/>
        <v>844</v>
      </c>
      <c r="B848" s="74"/>
      <c r="C848" s="52"/>
      <c r="D848" s="52"/>
      <c r="E848" s="55"/>
    </row>
    <row r="849" spans="1:5" x14ac:dyDescent="0.25">
      <c r="A849" s="79">
        <f t="shared" si="13"/>
        <v>845</v>
      </c>
      <c r="B849" s="74"/>
      <c r="C849" s="52"/>
      <c r="D849" s="52"/>
      <c r="E849" s="55"/>
    </row>
    <row r="850" spans="1:5" x14ac:dyDescent="0.25">
      <c r="A850" s="79">
        <f t="shared" si="13"/>
        <v>846</v>
      </c>
      <c r="B850" s="74"/>
      <c r="C850" s="52"/>
      <c r="D850" s="52"/>
      <c r="E850" s="55"/>
    </row>
    <row r="851" spans="1:5" x14ac:dyDescent="0.25">
      <c r="A851" s="79">
        <f t="shared" si="13"/>
        <v>847</v>
      </c>
      <c r="B851" s="74"/>
      <c r="C851" s="52"/>
      <c r="D851" s="52"/>
      <c r="E851" s="55"/>
    </row>
    <row r="852" spans="1:5" x14ac:dyDescent="0.25">
      <c r="A852" s="79">
        <f t="shared" si="13"/>
        <v>848</v>
      </c>
      <c r="B852" s="74"/>
      <c r="C852" s="52"/>
      <c r="D852" s="52"/>
      <c r="E852" s="55"/>
    </row>
    <row r="853" spans="1:5" x14ac:dyDescent="0.25">
      <c r="A853" s="79">
        <f t="shared" si="13"/>
        <v>849</v>
      </c>
      <c r="B853" s="74"/>
      <c r="C853" s="52"/>
      <c r="D853" s="52"/>
      <c r="E853" s="55"/>
    </row>
    <row r="854" spans="1:5" x14ac:dyDescent="0.25">
      <c r="A854" s="79">
        <f t="shared" si="13"/>
        <v>850</v>
      </c>
      <c r="B854" s="74"/>
      <c r="C854" s="52"/>
      <c r="D854" s="52"/>
      <c r="E854" s="55"/>
    </row>
    <row r="855" spans="1:5" x14ac:dyDescent="0.25">
      <c r="A855" s="79">
        <f t="shared" si="13"/>
        <v>851</v>
      </c>
      <c r="B855" s="74"/>
      <c r="C855" s="52"/>
      <c r="D855" s="52"/>
      <c r="E855" s="55"/>
    </row>
    <row r="856" spans="1:5" x14ac:dyDescent="0.25">
      <c r="A856" s="79">
        <f t="shared" si="13"/>
        <v>852</v>
      </c>
      <c r="B856" s="74"/>
      <c r="C856" s="52"/>
      <c r="D856" s="52"/>
      <c r="E856" s="55"/>
    </row>
    <row r="857" spans="1:5" x14ac:dyDescent="0.25">
      <c r="A857" s="79">
        <f t="shared" si="13"/>
        <v>853</v>
      </c>
      <c r="B857" s="74"/>
      <c r="C857" s="52"/>
      <c r="D857" s="52"/>
      <c r="E857" s="55"/>
    </row>
    <row r="858" spans="1:5" x14ac:dyDescent="0.25">
      <c r="A858" s="79">
        <f t="shared" si="13"/>
        <v>854</v>
      </c>
      <c r="B858" s="74"/>
      <c r="C858" s="52"/>
      <c r="D858" s="52"/>
      <c r="E858" s="55"/>
    </row>
    <row r="859" spans="1:5" x14ac:dyDescent="0.25">
      <c r="A859" s="79">
        <f t="shared" si="13"/>
        <v>855</v>
      </c>
      <c r="B859" s="74"/>
      <c r="C859" s="52"/>
      <c r="D859" s="52"/>
      <c r="E859" s="55"/>
    </row>
    <row r="860" spans="1:5" x14ac:dyDescent="0.25">
      <c r="A860" s="79">
        <f t="shared" si="13"/>
        <v>856</v>
      </c>
      <c r="B860" s="74"/>
      <c r="C860" s="52"/>
      <c r="D860" s="52"/>
      <c r="E860" s="55"/>
    </row>
    <row r="861" spans="1:5" x14ac:dyDescent="0.25">
      <c r="A861" s="79">
        <f t="shared" si="13"/>
        <v>857</v>
      </c>
      <c r="B861" s="74"/>
      <c r="C861" s="52"/>
      <c r="D861" s="52"/>
      <c r="E861" s="55"/>
    </row>
    <row r="862" spans="1:5" x14ac:dyDescent="0.25">
      <c r="A862" s="79">
        <f t="shared" si="13"/>
        <v>858</v>
      </c>
      <c r="B862" s="74"/>
      <c r="C862" s="52"/>
      <c r="D862" s="52"/>
      <c r="E862" s="55"/>
    </row>
    <row r="863" spans="1:5" x14ac:dyDescent="0.25">
      <c r="A863" s="79">
        <f t="shared" si="13"/>
        <v>859</v>
      </c>
      <c r="B863" s="74"/>
      <c r="C863" s="52"/>
      <c r="D863" s="52"/>
      <c r="E863" s="55"/>
    </row>
    <row r="864" spans="1:5" x14ac:dyDescent="0.25">
      <c r="A864" s="79">
        <f t="shared" si="13"/>
        <v>860</v>
      </c>
      <c r="B864" s="74"/>
      <c r="C864" s="52"/>
      <c r="D864" s="52"/>
      <c r="E864" s="55"/>
    </row>
    <row r="865" spans="1:5" x14ac:dyDescent="0.25">
      <c r="A865" s="79">
        <f t="shared" si="13"/>
        <v>861</v>
      </c>
      <c r="B865" s="74"/>
      <c r="C865" s="52"/>
      <c r="D865" s="52"/>
      <c r="E865" s="55"/>
    </row>
    <row r="866" spans="1:5" x14ac:dyDescent="0.25">
      <c r="A866" s="79">
        <f t="shared" si="13"/>
        <v>862</v>
      </c>
      <c r="B866" s="74"/>
      <c r="C866" s="52"/>
      <c r="D866" s="52"/>
      <c r="E866" s="55"/>
    </row>
    <row r="867" spans="1:5" x14ac:dyDescent="0.25">
      <c r="A867" s="79">
        <f t="shared" si="13"/>
        <v>863</v>
      </c>
      <c r="B867" s="74"/>
      <c r="C867" s="52"/>
      <c r="D867" s="52"/>
      <c r="E867" s="55"/>
    </row>
    <row r="868" spans="1:5" x14ac:dyDescent="0.25">
      <c r="A868" s="79">
        <f t="shared" si="13"/>
        <v>864</v>
      </c>
      <c r="B868" s="74"/>
      <c r="C868" s="52"/>
      <c r="D868" s="52"/>
      <c r="E868" s="55"/>
    </row>
    <row r="869" spans="1:5" x14ac:dyDescent="0.25">
      <c r="A869" s="79">
        <f t="shared" si="13"/>
        <v>865</v>
      </c>
      <c r="B869" s="74"/>
      <c r="C869" s="52"/>
      <c r="D869" s="52"/>
      <c r="E869" s="55"/>
    </row>
    <row r="870" spans="1:5" x14ac:dyDescent="0.25">
      <c r="A870" s="79">
        <f t="shared" si="13"/>
        <v>866</v>
      </c>
      <c r="B870" s="74"/>
      <c r="C870" s="52"/>
      <c r="D870" s="52"/>
      <c r="E870" s="55"/>
    </row>
    <row r="871" spans="1:5" x14ac:dyDescent="0.25">
      <c r="A871" s="79">
        <f t="shared" si="13"/>
        <v>867</v>
      </c>
      <c r="B871" s="74"/>
      <c r="C871" s="52"/>
      <c r="D871" s="52"/>
      <c r="E871" s="55"/>
    </row>
    <row r="872" spans="1:5" x14ac:dyDescent="0.25">
      <c r="A872" s="79">
        <f t="shared" si="13"/>
        <v>868</v>
      </c>
      <c r="B872" s="74"/>
      <c r="C872" s="52"/>
      <c r="D872" s="52"/>
      <c r="E872" s="55"/>
    </row>
    <row r="873" spans="1:5" x14ac:dyDescent="0.25">
      <c r="A873" s="79">
        <f t="shared" si="13"/>
        <v>869</v>
      </c>
      <c r="B873" s="74"/>
      <c r="C873" s="52"/>
      <c r="D873" s="52"/>
      <c r="E873" s="55"/>
    </row>
    <row r="874" spans="1:5" x14ac:dyDescent="0.25">
      <c r="A874" s="79">
        <f t="shared" si="13"/>
        <v>870</v>
      </c>
      <c r="B874" s="74"/>
      <c r="C874" s="52"/>
      <c r="D874" s="52"/>
      <c r="E874" s="55"/>
    </row>
    <row r="875" spans="1:5" x14ac:dyDescent="0.25">
      <c r="A875" s="79">
        <f t="shared" si="13"/>
        <v>871</v>
      </c>
      <c r="B875" s="74"/>
      <c r="C875" s="52"/>
      <c r="D875" s="52"/>
      <c r="E875" s="55"/>
    </row>
    <row r="876" spans="1:5" x14ac:dyDescent="0.25">
      <c r="A876" s="79">
        <f t="shared" si="13"/>
        <v>872</v>
      </c>
      <c r="B876" s="74"/>
      <c r="C876" s="52"/>
      <c r="D876" s="52"/>
      <c r="E876" s="55"/>
    </row>
    <row r="877" spans="1:5" x14ac:dyDescent="0.25">
      <c r="A877" s="79">
        <f t="shared" si="13"/>
        <v>873</v>
      </c>
      <c r="B877" s="74"/>
      <c r="C877" s="52"/>
      <c r="D877" s="52"/>
      <c r="E877" s="55"/>
    </row>
    <row r="878" spans="1:5" x14ac:dyDescent="0.25">
      <c r="A878" s="79">
        <f t="shared" si="13"/>
        <v>874</v>
      </c>
      <c r="B878" s="74"/>
      <c r="C878" s="52"/>
      <c r="D878" s="52"/>
      <c r="E878" s="55"/>
    </row>
    <row r="879" spans="1:5" x14ac:dyDescent="0.25">
      <c r="A879" s="79">
        <f t="shared" si="13"/>
        <v>875</v>
      </c>
      <c r="B879" s="74"/>
      <c r="C879" s="52"/>
      <c r="D879" s="52"/>
      <c r="E879" s="55"/>
    </row>
    <row r="880" spans="1:5" x14ac:dyDescent="0.25">
      <c r="A880" s="79">
        <f t="shared" si="13"/>
        <v>876</v>
      </c>
      <c r="B880" s="74"/>
      <c r="C880" s="52"/>
      <c r="D880" s="52"/>
      <c r="E880" s="55"/>
    </row>
    <row r="881" spans="1:5" x14ac:dyDescent="0.25">
      <c r="A881" s="79">
        <f t="shared" si="13"/>
        <v>877</v>
      </c>
      <c r="B881" s="74"/>
      <c r="C881" s="52"/>
      <c r="D881" s="52"/>
      <c r="E881" s="55"/>
    </row>
    <row r="882" spans="1:5" x14ac:dyDescent="0.25">
      <c r="A882" s="79">
        <f t="shared" si="13"/>
        <v>878</v>
      </c>
      <c r="B882" s="74"/>
      <c r="C882" s="52"/>
      <c r="D882" s="52"/>
      <c r="E882" s="55"/>
    </row>
    <row r="883" spans="1:5" x14ac:dyDescent="0.25">
      <c r="A883" s="79">
        <f t="shared" si="13"/>
        <v>879</v>
      </c>
      <c r="B883" s="74"/>
      <c r="C883" s="52"/>
      <c r="D883" s="52"/>
      <c r="E883" s="55"/>
    </row>
    <row r="884" spans="1:5" x14ac:dyDescent="0.25">
      <c r="A884" s="79">
        <f t="shared" si="13"/>
        <v>880</v>
      </c>
      <c r="B884" s="74"/>
      <c r="C884" s="52"/>
      <c r="D884" s="52"/>
      <c r="E884" s="55"/>
    </row>
    <row r="885" spans="1:5" x14ac:dyDescent="0.25">
      <c r="A885" s="79">
        <f t="shared" si="13"/>
        <v>881</v>
      </c>
      <c r="B885" s="74"/>
      <c r="C885" s="52"/>
      <c r="D885" s="52"/>
      <c r="E885" s="55"/>
    </row>
    <row r="886" spans="1:5" x14ac:dyDescent="0.25">
      <c r="A886" s="79">
        <f t="shared" si="13"/>
        <v>882</v>
      </c>
      <c r="B886" s="74"/>
      <c r="C886" s="52"/>
      <c r="D886" s="52"/>
      <c r="E886" s="55"/>
    </row>
    <row r="887" spans="1:5" x14ac:dyDescent="0.25">
      <c r="A887" s="79">
        <f t="shared" si="13"/>
        <v>883</v>
      </c>
      <c r="B887" s="74"/>
      <c r="C887" s="52"/>
      <c r="D887" s="52"/>
      <c r="E887" s="55"/>
    </row>
    <row r="888" spans="1:5" x14ac:dyDescent="0.25">
      <c r="A888" s="79">
        <f t="shared" si="13"/>
        <v>884</v>
      </c>
      <c r="B888" s="74"/>
      <c r="C888" s="52"/>
      <c r="D888" s="52"/>
      <c r="E888" s="55"/>
    </row>
    <row r="889" spans="1:5" x14ac:dyDescent="0.25">
      <c r="A889" s="79">
        <f t="shared" si="13"/>
        <v>885</v>
      </c>
      <c r="B889" s="74"/>
      <c r="C889" s="52"/>
      <c r="D889" s="52"/>
      <c r="E889" s="55"/>
    </row>
    <row r="890" spans="1:5" x14ac:dyDescent="0.25">
      <c r="A890" s="79">
        <f t="shared" si="13"/>
        <v>886</v>
      </c>
      <c r="B890" s="74"/>
      <c r="C890" s="52"/>
      <c r="D890" s="52"/>
      <c r="E890" s="55"/>
    </row>
    <row r="891" spans="1:5" x14ac:dyDescent="0.25">
      <c r="A891" s="79">
        <f t="shared" si="13"/>
        <v>887</v>
      </c>
      <c r="B891" s="74"/>
      <c r="C891" s="52"/>
      <c r="D891" s="52"/>
      <c r="E891" s="55"/>
    </row>
    <row r="892" spans="1:5" x14ac:dyDescent="0.25">
      <c r="A892" s="79">
        <f t="shared" si="13"/>
        <v>888</v>
      </c>
      <c r="B892" s="74"/>
      <c r="C892" s="52"/>
      <c r="D892" s="52"/>
      <c r="E892" s="55"/>
    </row>
    <row r="893" spans="1:5" x14ac:dyDescent="0.25">
      <c r="A893" s="79">
        <f t="shared" si="13"/>
        <v>889</v>
      </c>
      <c r="B893" s="74"/>
      <c r="C893" s="52"/>
      <c r="D893" s="52"/>
      <c r="E893" s="55"/>
    </row>
    <row r="894" spans="1:5" x14ac:dyDescent="0.25">
      <c r="A894" s="79">
        <f t="shared" si="13"/>
        <v>890</v>
      </c>
      <c r="B894" s="74"/>
      <c r="C894" s="52"/>
      <c r="D894" s="52"/>
      <c r="E894" s="55"/>
    </row>
    <row r="895" spans="1:5" x14ac:dyDescent="0.25">
      <c r="A895" s="79">
        <f t="shared" si="13"/>
        <v>891</v>
      </c>
      <c r="B895" s="74"/>
      <c r="C895" s="52"/>
      <c r="D895" s="52"/>
      <c r="E895" s="55"/>
    </row>
    <row r="896" spans="1:5" x14ac:dyDescent="0.25">
      <c r="A896" s="79">
        <f t="shared" si="13"/>
        <v>892</v>
      </c>
      <c r="B896" s="74"/>
      <c r="C896" s="52"/>
      <c r="D896" s="52"/>
      <c r="E896" s="55"/>
    </row>
    <row r="897" spans="1:5" x14ac:dyDescent="0.25">
      <c r="A897" s="79">
        <f t="shared" si="13"/>
        <v>893</v>
      </c>
      <c r="B897" s="74"/>
      <c r="C897" s="52"/>
      <c r="D897" s="52"/>
      <c r="E897" s="55"/>
    </row>
    <row r="898" spans="1:5" x14ac:dyDescent="0.25">
      <c r="A898" s="79">
        <f t="shared" si="13"/>
        <v>894</v>
      </c>
      <c r="B898" s="74"/>
      <c r="C898" s="52"/>
      <c r="D898" s="52"/>
      <c r="E898" s="55"/>
    </row>
    <row r="899" spans="1:5" x14ac:dyDescent="0.25">
      <c r="A899" s="79">
        <f t="shared" si="13"/>
        <v>895</v>
      </c>
      <c r="B899" s="74"/>
      <c r="C899" s="52"/>
      <c r="D899" s="52"/>
      <c r="E899" s="55"/>
    </row>
    <row r="900" spans="1:5" x14ac:dyDescent="0.25">
      <c r="A900" s="79">
        <f t="shared" si="13"/>
        <v>896</v>
      </c>
      <c r="B900" s="74"/>
      <c r="C900" s="52"/>
      <c r="D900" s="52"/>
      <c r="E900" s="55"/>
    </row>
    <row r="901" spans="1:5" x14ac:dyDescent="0.25">
      <c r="A901" s="79">
        <f t="shared" ref="A901:A964" si="14">ROW()-4</f>
        <v>897</v>
      </c>
      <c r="B901" s="74"/>
      <c r="C901" s="52"/>
      <c r="D901" s="52"/>
      <c r="E901" s="55"/>
    </row>
    <row r="902" spans="1:5" x14ac:dyDescent="0.25">
      <c r="A902" s="79">
        <f t="shared" si="14"/>
        <v>898</v>
      </c>
      <c r="B902" s="74"/>
      <c r="C902" s="52"/>
      <c r="D902" s="52"/>
      <c r="E902" s="55"/>
    </row>
    <row r="903" spans="1:5" x14ac:dyDescent="0.25">
      <c r="A903" s="79">
        <f t="shared" si="14"/>
        <v>899</v>
      </c>
      <c r="B903" s="74"/>
      <c r="C903" s="52"/>
      <c r="D903" s="52"/>
      <c r="E903" s="55"/>
    </row>
    <row r="904" spans="1:5" x14ac:dyDescent="0.25">
      <c r="A904" s="79">
        <f t="shared" si="14"/>
        <v>900</v>
      </c>
      <c r="B904" s="74"/>
      <c r="C904" s="52"/>
      <c r="D904" s="52"/>
      <c r="E904" s="55"/>
    </row>
    <row r="905" spans="1:5" x14ac:dyDescent="0.25">
      <c r="A905" s="79">
        <f t="shared" si="14"/>
        <v>901</v>
      </c>
      <c r="B905" s="74"/>
      <c r="C905" s="52"/>
      <c r="D905" s="52"/>
      <c r="E905" s="55"/>
    </row>
    <row r="906" spans="1:5" x14ac:dyDescent="0.25">
      <c r="A906" s="79">
        <f t="shared" si="14"/>
        <v>902</v>
      </c>
      <c r="B906" s="74"/>
      <c r="C906" s="52"/>
      <c r="D906" s="52"/>
      <c r="E906" s="55"/>
    </row>
    <row r="907" spans="1:5" x14ac:dyDescent="0.25">
      <c r="A907" s="79">
        <f t="shared" si="14"/>
        <v>903</v>
      </c>
      <c r="B907" s="74"/>
      <c r="C907" s="52"/>
      <c r="D907" s="52"/>
      <c r="E907" s="55"/>
    </row>
    <row r="908" spans="1:5" x14ac:dyDescent="0.25">
      <c r="A908" s="79">
        <f t="shared" si="14"/>
        <v>904</v>
      </c>
      <c r="B908" s="74"/>
      <c r="C908" s="52"/>
      <c r="D908" s="52"/>
      <c r="E908" s="55"/>
    </row>
    <row r="909" spans="1:5" x14ac:dyDescent="0.25">
      <c r="A909" s="79">
        <f t="shared" si="14"/>
        <v>905</v>
      </c>
      <c r="B909" s="74"/>
      <c r="C909" s="52"/>
      <c r="D909" s="52"/>
      <c r="E909" s="55"/>
    </row>
    <row r="910" spans="1:5" x14ac:dyDescent="0.25">
      <c r="A910" s="79">
        <f t="shared" si="14"/>
        <v>906</v>
      </c>
      <c r="B910" s="74"/>
      <c r="C910" s="52"/>
      <c r="D910" s="52"/>
      <c r="E910" s="55"/>
    </row>
    <row r="911" spans="1:5" x14ac:dyDescent="0.25">
      <c r="A911" s="79">
        <f t="shared" si="14"/>
        <v>907</v>
      </c>
      <c r="B911" s="74"/>
      <c r="C911" s="52"/>
      <c r="D911" s="52"/>
      <c r="E911" s="55"/>
    </row>
    <row r="912" spans="1:5" x14ac:dyDescent="0.25">
      <c r="A912" s="79">
        <f t="shared" si="14"/>
        <v>908</v>
      </c>
      <c r="B912" s="74"/>
      <c r="C912" s="52"/>
      <c r="D912" s="52"/>
      <c r="E912" s="55"/>
    </row>
    <row r="913" spans="1:5" x14ac:dyDescent="0.25">
      <c r="A913" s="79">
        <f t="shared" si="14"/>
        <v>909</v>
      </c>
      <c r="B913" s="74"/>
      <c r="C913" s="52"/>
      <c r="D913" s="52"/>
      <c r="E913" s="55"/>
    </row>
    <row r="914" spans="1:5" x14ac:dyDescent="0.25">
      <c r="A914" s="79">
        <f t="shared" si="14"/>
        <v>910</v>
      </c>
      <c r="B914" s="74"/>
      <c r="C914" s="52"/>
      <c r="D914" s="52"/>
      <c r="E914" s="55"/>
    </row>
    <row r="915" spans="1:5" x14ac:dyDescent="0.25">
      <c r="A915" s="79">
        <f t="shared" si="14"/>
        <v>911</v>
      </c>
      <c r="B915" s="74"/>
      <c r="C915" s="52"/>
      <c r="D915" s="52"/>
      <c r="E915" s="55"/>
    </row>
    <row r="916" spans="1:5" x14ac:dyDescent="0.25">
      <c r="A916" s="79">
        <f t="shared" si="14"/>
        <v>912</v>
      </c>
      <c r="B916" s="74"/>
      <c r="C916" s="52"/>
      <c r="D916" s="52"/>
      <c r="E916" s="55"/>
    </row>
    <row r="917" spans="1:5" x14ac:dyDescent="0.25">
      <c r="A917" s="79">
        <f t="shared" si="14"/>
        <v>913</v>
      </c>
      <c r="B917" s="74"/>
      <c r="C917" s="52"/>
      <c r="D917" s="52"/>
      <c r="E917" s="55"/>
    </row>
    <row r="918" spans="1:5" x14ac:dyDescent="0.25">
      <c r="A918" s="79">
        <f t="shared" si="14"/>
        <v>914</v>
      </c>
      <c r="B918" s="74"/>
      <c r="C918" s="52"/>
      <c r="D918" s="52"/>
      <c r="E918" s="55"/>
    </row>
    <row r="919" spans="1:5" x14ac:dyDescent="0.25">
      <c r="A919" s="79">
        <f t="shared" si="14"/>
        <v>915</v>
      </c>
      <c r="B919" s="74"/>
      <c r="C919" s="52"/>
      <c r="D919" s="52"/>
      <c r="E919" s="55"/>
    </row>
    <row r="920" spans="1:5" x14ac:dyDescent="0.25">
      <c r="A920" s="79">
        <f t="shared" si="14"/>
        <v>916</v>
      </c>
      <c r="B920" s="74"/>
      <c r="C920" s="52"/>
      <c r="D920" s="52"/>
      <c r="E920" s="55"/>
    </row>
    <row r="921" spans="1:5" x14ac:dyDescent="0.25">
      <c r="A921" s="79">
        <f t="shared" si="14"/>
        <v>917</v>
      </c>
      <c r="B921" s="74"/>
      <c r="C921" s="52"/>
      <c r="D921" s="52"/>
      <c r="E921" s="55"/>
    </row>
    <row r="922" spans="1:5" x14ac:dyDescent="0.25">
      <c r="A922" s="79">
        <f t="shared" si="14"/>
        <v>918</v>
      </c>
      <c r="B922" s="74"/>
      <c r="C922" s="52"/>
      <c r="D922" s="52"/>
      <c r="E922" s="55"/>
    </row>
    <row r="923" spans="1:5" x14ac:dyDescent="0.25">
      <c r="A923" s="79">
        <f t="shared" si="14"/>
        <v>919</v>
      </c>
      <c r="B923" s="74"/>
      <c r="C923" s="52"/>
      <c r="D923" s="52"/>
      <c r="E923" s="55"/>
    </row>
    <row r="924" spans="1:5" x14ac:dyDescent="0.25">
      <c r="A924" s="79">
        <f t="shared" si="14"/>
        <v>920</v>
      </c>
      <c r="B924" s="74"/>
      <c r="C924" s="52"/>
      <c r="D924" s="52"/>
      <c r="E924" s="55"/>
    </row>
    <row r="925" spans="1:5" x14ac:dyDescent="0.25">
      <c r="A925" s="79">
        <f t="shared" si="14"/>
        <v>921</v>
      </c>
      <c r="B925" s="74"/>
      <c r="C925" s="52"/>
      <c r="D925" s="52"/>
      <c r="E925" s="55"/>
    </row>
    <row r="926" spans="1:5" x14ac:dyDescent="0.25">
      <c r="A926" s="79">
        <f t="shared" si="14"/>
        <v>922</v>
      </c>
      <c r="B926" s="74"/>
      <c r="C926" s="52"/>
      <c r="D926" s="52"/>
      <c r="E926" s="55"/>
    </row>
    <row r="927" spans="1:5" x14ac:dyDescent="0.25">
      <c r="A927" s="79">
        <f t="shared" si="14"/>
        <v>923</v>
      </c>
      <c r="B927" s="74"/>
      <c r="C927" s="52"/>
      <c r="D927" s="52"/>
      <c r="E927" s="55"/>
    </row>
    <row r="928" spans="1:5" x14ac:dyDescent="0.25">
      <c r="A928" s="79">
        <f t="shared" si="14"/>
        <v>924</v>
      </c>
      <c r="B928" s="74"/>
      <c r="C928" s="52"/>
      <c r="D928" s="52"/>
      <c r="E928" s="55"/>
    </row>
    <row r="929" spans="1:5" x14ac:dyDescent="0.25">
      <c r="A929" s="79">
        <f t="shared" si="14"/>
        <v>925</v>
      </c>
      <c r="B929" s="74"/>
      <c r="C929" s="52"/>
      <c r="D929" s="52"/>
      <c r="E929" s="55"/>
    </row>
    <row r="930" spans="1:5" x14ac:dyDescent="0.25">
      <c r="A930" s="79">
        <f t="shared" si="14"/>
        <v>926</v>
      </c>
      <c r="B930" s="74"/>
      <c r="C930" s="52"/>
      <c r="D930" s="52"/>
      <c r="E930" s="55"/>
    </row>
    <row r="931" spans="1:5" x14ac:dyDescent="0.25">
      <c r="A931" s="79">
        <f t="shared" si="14"/>
        <v>927</v>
      </c>
      <c r="B931" s="74"/>
      <c r="C931" s="52"/>
      <c r="D931" s="52"/>
      <c r="E931" s="55"/>
    </row>
    <row r="932" spans="1:5" x14ac:dyDescent="0.25">
      <c r="A932" s="79">
        <f t="shared" si="14"/>
        <v>928</v>
      </c>
      <c r="B932" s="74"/>
      <c r="C932" s="52"/>
      <c r="D932" s="52"/>
      <c r="E932" s="55"/>
    </row>
    <row r="933" spans="1:5" x14ac:dyDescent="0.25">
      <c r="A933" s="79">
        <f t="shared" si="14"/>
        <v>929</v>
      </c>
      <c r="B933" s="74"/>
      <c r="C933" s="52"/>
      <c r="D933" s="52"/>
      <c r="E933" s="55"/>
    </row>
    <row r="934" spans="1:5" x14ac:dyDescent="0.25">
      <c r="A934" s="79">
        <f t="shared" si="14"/>
        <v>930</v>
      </c>
      <c r="B934" s="74"/>
      <c r="C934" s="52"/>
      <c r="D934" s="52"/>
      <c r="E934" s="55"/>
    </row>
    <row r="935" spans="1:5" x14ac:dyDescent="0.25">
      <c r="A935" s="79">
        <f t="shared" si="14"/>
        <v>931</v>
      </c>
      <c r="B935" s="74"/>
      <c r="C935" s="52"/>
      <c r="D935" s="52"/>
      <c r="E935" s="55"/>
    </row>
    <row r="936" spans="1:5" x14ac:dyDescent="0.25">
      <c r="A936" s="79">
        <f t="shared" si="14"/>
        <v>932</v>
      </c>
      <c r="B936" s="74"/>
      <c r="C936" s="52"/>
      <c r="D936" s="52"/>
      <c r="E936" s="55"/>
    </row>
    <row r="937" spans="1:5" x14ac:dyDescent="0.25">
      <c r="A937" s="79">
        <f t="shared" si="14"/>
        <v>933</v>
      </c>
      <c r="B937" s="74"/>
      <c r="C937" s="52"/>
      <c r="D937" s="52"/>
      <c r="E937" s="55"/>
    </row>
    <row r="938" spans="1:5" x14ac:dyDescent="0.25">
      <c r="A938" s="79">
        <f t="shared" si="14"/>
        <v>934</v>
      </c>
      <c r="B938" s="74"/>
      <c r="C938" s="52"/>
      <c r="D938" s="52"/>
      <c r="E938" s="55"/>
    </row>
    <row r="939" spans="1:5" x14ac:dyDescent="0.25">
      <c r="A939" s="79">
        <f t="shared" si="14"/>
        <v>935</v>
      </c>
      <c r="B939" s="74"/>
      <c r="C939" s="52"/>
      <c r="D939" s="52"/>
      <c r="E939" s="55"/>
    </row>
    <row r="940" spans="1:5" x14ac:dyDescent="0.25">
      <c r="A940" s="79">
        <f t="shared" si="14"/>
        <v>936</v>
      </c>
      <c r="B940" s="74"/>
      <c r="C940" s="52"/>
      <c r="D940" s="52"/>
      <c r="E940" s="55"/>
    </row>
    <row r="941" spans="1:5" x14ac:dyDescent="0.25">
      <c r="A941" s="79">
        <f t="shared" si="14"/>
        <v>937</v>
      </c>
      <c r="B941" s="74"/>
      <c r="C941" s="52"/>
      <c r="D941" s="52"/>
      <c r="E941" s="55"/>
    </row>
    <row r="942" spans="1:5" x14ac:dyDescent="0.25">
      <c r="A942" s="79">
        <f t="shared" si="14"/>
        <v>938</v>
      </c>
      <c r="B942" s="74"/>
      <c r="C942" s="52"/>
      <c r="D942" s="52"/>
      <c r="E942" s="55"/>
    </row>
    <row r="943" spans="1:5" x14ac:dyDescent="0.25">
      <c r="A943" s="79">
        <f t="shared" si="14"/>
        <v>939</v>
      </c>
      <c r="B943" s="74"/>
      <c r="C943" s="52"/>
      <c r="D943" s="52"/>
      <c r="E943" s="55"/>
    </row>
    <row r="944" spans="1:5" x14ac:dyDescent="0.25">
      <c r="A944" s="79">
        <f t="shared" si="14"/>
        <v>940</v>
      </c>
      <c r="B944" s="74"/>
      <c r="C944" s="52"/>
      <c r="D944" s="52"/>
      <c r="E944" s="55"/>
    </row>
    <row r="945" spans="1:5" x14ac:dyDescent="0.25">
      <c r="A945" s="79">
        <f t="shared" si="14"/>
        <v>941</v>
      </c>
      <c r="B945" s="74"/>
      <c r="C945" s="52"/>
      <c r="D945" s="52"/>
      <c r="E945" s="55"/>
    </row>
    <row r="946" spans="1:5" x14ac:dyDescent="0.25">
      <c r="A946" s="79">
        <f t="shared" si="14"/>
        <v>942</v>
      </c>
      <c r="B946" s="74"/>
      <c r="C946" s="52"/>
      <c r="D946" s="52"/>
      <c r="E946" s="55"/>
    </row>
    <row r="947" spans="1:5" x14ac:dyDescent="0.25">
      <c r="A947" s="79">
        <f t="shared" si="14"/>
        <v>943</v>
      </c>
      <c r="B947" s="74"/>
      <c r="C947" s="52"/>
      <c r="D947" s="52"/>
      <c r="E947" s="55"/>
    </row>
    <row r="948" spans="1:5" x14ac:dyDescent="0.25">
      <c r="A948" s="79">
        <f t="shared" si="14"/>
        <v>944</v>
      </c>
      <c r="B948" s="74"/>
      <c r="C948" s="52"/>
      <c r="D948" s="52"/>
      <c r="E948" s="55"/>
    </row>
    <row r="949" spans="1:5" x14ac:dyDescent="0.25">
      <c r="A949" s="79">
        <f t="shared" si="14"/>
        <v>945</v>
      </c>
      <c r="B949" s="74"/>
      <c r="C949" s="52"/>
      <c r="D949" s="52"/>
      <c r="E949" s="55"/>
    </row>
    <row r="950" spans="1:5" x14ac:dyDescent="0.25">
      <c r="A950" s="79">
        <f t="shared" si="14"/>
        <v>946</v>
      </c>
      <c r="B950" s="74"/>
      <c r="C950" s="52"/>
      <c r="D950" s="52"/>
      <c r="E950" s="55"/>
    </row>
    <row r="951" spans="1:5" x14ac:dyDescent="0.25">
      <c r="A951" s="79">
        <f t="shared" si="14"/>
        <v>947</v>
      </c>
      <c r="B951" s="74"/>
      <c r="C951" s="52"/>
      <c r="D951" s="52"/>
      <c r="E951" s="55"/>
    </row>
    <row r="952" spans="1:5" x14ac:dyDescent="0.25">
      <c r="A952" s="79">
        <f t="shared" si="14"/>
        <v>948</v>
      </c>
      <c r="B952" s="74"/>
      <c r="C952" s="52"/>
      <c r="D952" s="52"/>
      <c r="E952" s="55"/>
    </row>
    <row r="953" spans="1:5" x14ac:dyDescent="0.25">
      <c r="A953" s="79">
        <f t="shared" si="14"/>
        <v>949</v>
      </c>
      <c r="B953" s="74"/>
      <c r="C953" s="52"/>
      <c r="D953" s="52"/>
      <c r="E953" s="55"/>
    </row>
    <row r="954" spans="1:5" x14ac:dyDescent="0.25">
      <c r="A954" s="79">
        <f t="shared" si="14"/>
        <v>950</v>
      </c>
      <c r="B954" s="74"/>
      <c r="C954" s="52"/>
      <c r="D954" s="52"/>
      <c r="E954" s="55"/>
    </row>
    <row r="955" spans="1:5" x14ac:dyDescent="0.25">
      <c r="A955" s="79">
        <f t="shared" si="14"/>
        <v>951</v>
      </c>
      <c r="B955" s="74"/>
      <c r="C955" s="52"/>
      <c r="D955" s="52"/>
      <c r="E955" s="55"/>
    </row>
    <row r="956" spans="1:5" x14ac:dyDescent="0.25">
      <c r="A956" s="79">
        <f t="shared" si="14"/>
        <v>952</v>
      </c>
      <c r="B956" s="74"/>
      <c r="C956" s="52"/>
      <c r="D956" s="52"/>
      <c r="E956" s="55"/>
    </row>
    <row r="957" spans="1:5" x14ac:dyDescent="0.25">
      <c r="A957" s="79">
        <f t="shared" si="14"/>
        <v>953</v>
      </c>
      <c r="B957" s="74"/>
      <c r="C957" s="52"/>
      <c r="D957" s="52"/>
      <c r="E957" s="55"/>
    </row>
    <row r="958" spans="1:5" x14ac:dyDescent="0.25">
      <c r="A958" s="79">
        <f t="shared" si="14"/>
        <v>954</v>
      </c>
      <c r="B958" s="74"/>
      <c r="C958" s="52"/>
      <c r="D958" s="52"/>
      <c r="E958" s="55"/>
    </row>
    <row r="959" spans="1:5" x14ac:dyDescent="0.25">
      <c r="A959" s="79">
        <f t="shared" si="14"/>
        <v>955</v>
      </c>
      <c r="B959" s="74"/>
      <c r="C959" s="52"/>
      <c r="D959" s="52"/>
      <c r="E959" s="55"/>
    </row>
    <row r="960" spans="1:5" x14ac:dyDescent="0.25">
      <c r="A960" s="79">
        <f t="shared" si="14"/>
        <v>956</v>
      </c>
      <c r="B960" s="74"/>
      <c r="C960" s="52"/>
      <c r="D960" s="52"/>
      <c r="E960" s="55"/>
    </row>
    <row r="961" spans="1:5" x14ac:dyDescent="0.25">
      <c r="A961" s="79">
        <f t="shared" si="14"/>
        <v>957</v>
      </c>
      <c r="B961" s="74"/>
      <c r="C961" s="52"/>
      <c r="D961" s="52"/>
      <c r="E961" s="55"/>
    </row>
    <row r="962" spans="1:5" x14ac:dyDescent="0.25">
      <c r="A962" s="79">
        <f t="shared" si="14"/>
        <v>958</v>
      </c>
      <c r="B962" s="74"/>
      <c r="C962" s="52"/>
      <c r="D962" s="52"/>
      <c r="E962" s="55"/>
    </row>
    <row r="963" spans="1:5" x14ac:dyDescent="0.25">
      <c r="A963" s="79">
        <f t="shared" si="14"/>
        <v>959</v>
      </c>
      <c r="B963" s="74"/>
      <c r="C963" s="52"/>
      <c r="D963" s="52"/>
      <c r="E963" s="55"/>
    </row>
    <row r="964" spans="1:5" x14ac:dyDescent="0.25">
      <c r="A964" s="79">
        <f t="shared" si="14"/>
        <v>960</v>
      </c>
      <c r="B964" s="74"/>
      <c r="C964" s="52"/>
      <c r="D964" s="52"/>
      <c r="E964" s="55"/>
    </row>
    <row r="965" spans="1:5" x14ac:dyDescent="0.25">
      <c r="A965" s="79">
        <f t="shared" ref="A965:A1028" si="15">ROW()-4</f>
        <v>961</v>
      </c>
      <c r="B965" s="74"/>
      <c r="C965" s="52"/>
      <c r="D965" s="52"/>
      <c r="E965" s="55"/>
    </row>
    <row r="966" spans="1:5" x14ac:dyDescent="0.25">
      <c r="A966" s="79">
        <f t="shared" si="15"/>
        <v>962</v>
      </c>
      <c r="B966" s="74"/>
      <c r="C966" s="52"/>
      <c r="D966" s="52"/>
      <c r="E966" s="55"/>
    </row>
    <row r="967" spans="1:5" x14ac:dyDescent="0.25">
      <c r="A967" s="79">
        <f t="shared" si="15"/>
        <v>963</v>
      </c>
      <c r="B967" s="74"/>
      <c r="C967" s="52"/>
      <c r="D967" s="52"/>
      <c r="E967" s="55"/>
    </row>
    <row r="968" spans="1:5" x14ac:dyDescent="0.25">
      <c r="A968" s="79">
        <f t="shared" si="15"/>
        <v>964</v>
      </c>
      <c r="B968" s="74"/>
      <c r="C968" s="52"/>
      <c r="D968" s="52"/>
      <c r="E968" s="55"/>
    </row>
    <row r="969" spans="1:5" x14ac:dyDescent="0.25">
      <c r="A969" s="79">
        <f t="shared" si="15"/>
        <v>965</v>
      </c>
      <c r="B969" s="74"/>
      <c r="C969" s="52"/>
      <c r="D969" s="52"/>
      <c r="E969" s="55"/>
    </row>
    <row r="970" spans="1:5" x14ac:dyDescent="0.25">
      <c r="A970" s="79">
        <f t="shared" si="15"/>
        <v>966</v>
      </c>
      <c r="B970" s="74"/>
      <c r="C970" s="52"/>
      <c r="D970" s="52"/>
      <c r="E970" s="55"/>
    </row>
    <row r="971" spans="1:5" x14ac:dyDescent="0.25">
      <c r="A971" s="79">
        <f t="shared" si="15"/>
        <v>967</v>
      </c>
      <c r="B971" s="74"/>
      <c r="C971" s="52"/>
      <c r="D971" s="52"/>
      <c r="E971" s="55"/>
    </row>
    <row r="972" spans="1:5" x14ac:dyDescent="0.25">
      <c r="A972" s="79">
        <f t="shared" si="15"/>
        <v>968</v>
      </c>
      <c r="B972" s="74"/>
      <c r="C972" s="52"/>
      <c r="D972" s="52"/>
      <c r="E972" s="55"/>
    </row>
    <row r="973" spans="1:5" x14ac:dyDescent="0.25">
      <c r="A973" s="79">
        <f t="shared" si="15"/>
        <v>969</v>
      </c>
      <c r="B973" s="74"/>
      <c r="C973" s="52"/>
      <c r="D973" s="52"/>
      <c r="E973" s="55"/>
    </row>
    <row r="974" spans="1:5" x14ac:dyDescent="0.25">
      <c r="A974" s="79">
        <f t="shared" si="15"/>
        <v>970</v>
      </c>
      <c r="B974" s="74"/>
      <c r="C974" s="52"/>
      <c r="D974" s="52"/>
      <c r="E974" s="55"/>
    </row>
    <row r="975" spans="1:5" x14ac:dyDescent="0.25">
      <c r="A975" s="79">
        <f t="shared" si="15"/>
        <v>971</v>
      </c>
      <c r="B975" s="74"/>
      <c r="C975" s="52"/>
      <c r="D975" s="52"/>
      <c r="E975" s="55"/>
    </row>
    <row r="976" spans="1:5" x14ac:dyDescent="0.25">
      <c r="A976" s="79">
        <f t="shared" si="15"/>
        <v>972</v>
      </c>
      <c r="B976" s="74"/>
      <c r="C976" s="52"/>
      <c r="D976" s="52"/>
      <c r="E976" s="55"/>
    </row>
    <row r="977" spans="1:5" x14ac:dyDescent="0.25">
      <c r="A977" s="79">
        <f t="shared" si="15"/>
        <v>973</v>
      </c>
      <c r="B977" s="74"/>
      <c r="C977" s="52"/>
      <c r="D977" s="52"/>
      <c r="E977" s="55"/>
    </row>
    <row r="978" spans="1:5" x14ac:dyDescent="0.25">
      <c r="A978" s="79">
        <f t="shared" si="15"/>
        <v>974</v>
      </c>
      <c r="B978" s="74"/>
      <c r="C978" s="52"/>
      <c r="D978" s="52"/>
      <c r="E978" s="55"/>
    </row>
    <row r="979" spans="1:5" x14ac:dyDescent="0.25">
      <c r="A979" s="79">
        <f t="shared" si="15"/>
        <v>975</v>
      </c>
      <c r="B979" s="74"/>
      <c r="C979" s="52"/>
      <c r="D979" s="52"/>
      <c r="E979" s="55"/>
    </row>
    <row r="980" spans="1:5" x14ac:dyDescent="0.25">
      <c r="A980" s="79">
        <f t="shared" si="15"/>
        <v>976</v>
      </c>
      <c r="B980" s="74"/>
      <c r="C980" s="52"/>
      <c r="D980" s="52"/>
      <c r="E980" s="55"/>
    </row>
    <row r="981" spans="1:5" x14ac:dyDescent="0.25">
      <c r="A981" s="79">
        <f t="shared" si="15"/>
        <v>977</v>
      </c>
      <c r="B981" s="74"/>
      <c r="C981" s="52"/>
      <c r="D981" s="52"/>
      <c r="E981" s="55"/>
    </row>
    <row r="982" spans="1:5" x14ac:dyDescent="0.25">
      <c r="A982" s="79">
        <f t="shared" si="15"/>
        <v>978</v>
      </c>
      <c r="B982" s="74"/>
      <c r="C982" s="52"/>
      <c r="D982" s="52"/>
      <c r="E982" s="55"/>
    </row>
    <row r="983" spans="1:5" x14ac:dyDescent="0.25">
      <c r="A983" s="79">
        <f t="shared" si="15"/>
        <v>979</v>
      </c>
      <c r="B983" s="74"/>
      <c r="C983" s="52"/>
      <c r="D983" s="52"/>
      <c r="E983" s="55"/>
    </row>
    <row r="984" spans="1:5" x14ac:dyDescent="0.25">
      <c r="A984" s="79">
        <f t="shared" si="15"/>
        <v>980</v>
      </c>
      <c r="B984" s="74"/>
      <c r="C984" s="52"/>
      <c r="D984" s="52"/>
      <c r="E984" s="55"/>
    </row>
    <row r="985" spans="1:5" x14ac:dyDescent="0.25">
      <c r="A985" s="79">
        <f t="shared" si="15"/>
        <v>981</v>
      </c>
      <c r="B985" s="74"/>
      <c r="C985" s="52"/>
      <c r="D985" s="52"/>
      <c r="E985" s="55"/>
    </row>
    <row r="986" spans="1:5" x14ac:dyDescent="0.25">
      <c r="A986" s="79">
        <f t="shared" si="15"/>
        <v>982</v>
      </c>
      <c r="B986" s="74"/>
      <c r="C986" s="52"/>
      <c r="D986" s="52"/>
      <c r="E986" s="55"/>
    </row>
    <row r="987" spans="1:5" x14ac:dyDescent="0.25">
      <c r="A987" s="79">
        <f t="shared" si="15"/>
        <v>983</v>
      </c>
      <c r="B987" s="74"/>
      <c r="C987" s="52"/>
      <c r="D987" s="52"/>
      <c r="E987" s="55"/>
    </row>
    <row r="988" spans="1:5" x14ac:dyDescent="0.25">
      <c r="A988" s="79">
        <f t="shared" si="15"/>
        <v>984</v>
      </c>
      <c r="B988" s="74"/>
      <c r="C988" s="52"/>
      <c r="D988" s="52"/>
      <c r="E988" s="55"/>
    </row>
    <row r="989" spans="1:5" x14ac:dyDescent="0.25">
      <c r="A989" s="79">
        <f t="shared" si="15"/>
        <v>985</v>
      </c>
      <c r="B989" s="74"/>
      <c r="C989" s="52"/>
      <c r="D989" s="52"/>
      <c r="E989" s="55"/>
    </row>
    <row r="990" spans="1:5" x14ac:dyDescent="0.25">
      <c r="A990" s="79">
        <f t="shared" si="15"/>
        <v>986</v>
      </c>
      <c r="B990" s="74"/>
      <c r="C990" s="52"/>
      <c r="D990" s="52"/>
      <c r="E990" s="55"/>
    </row>
    <row r="991" spans="1:5" x14ac:dyDescent="0.25">
      <c r="A991" s="79">
        <f t="shared" si="15"/>
        <v>987</v>
      </c>
      <c r="B991" s="74"/>
      <c r="C991" s="52"/>
      <c r="D991" s="52"/>
      <c r="E991" s="55"/>
    </row>
    <row r="992" spans="1:5" x14ac:dyDescent="0.25">
      <c r="A992" s="79">
        <f t="shared" si="15"/>
        <v>988</v>
      </c>
      <c r="B992" s="74"/>
      <c r="C992" s="52"/>
      <c r="D992" s="52"/>
      <c r="E992" s="55"/>
    </row>
    <row r="993" spans="1:5" x14ac:dyDescent="0.25">
      <c r="A993" s="79">
        <f t="shared" si="15"/>
        <v>989</v>
      </c>
      <c r="B993" s="74"/>
      <c r="C993" s="52"/>
      <c r="D993" s="52"/>
      <c r="E993" s="55"/>
    </row>
    <row r="994" spans="1:5" x14ac:dyDescent="0.25">
      <c r="A994" s="79">
        <f t="shared" si="15"/>
        <v>990</v>
      </c>
      <c r="B994" s="74"/>
      <c r="C994" s="52"/>
      <c r="D994" s="52"/>
      <c r="E994" s="55"/>
    </row>
    <row r="995" spans="1:5" x14ac:dyDescent="0.25">
      <c r="A995" s="79">
        <f t="shared" si="15"/>
        <v>991</v>
      </c>
      <c r="B995" s="74"/>
      <c r="C995" s="52"/>
      <c r="D995" s="52"/>
      <c r="E995" s="55"/>
    </row>
    <row r="996" spans="1:5" x14ac:dyDescent="0.25">
      <c r="A996" s="79">
        <f t="shared" si="15"/>
        <v>992</v>
      </c>
      <c r="B996" s="74"/>
      <c r="C996" s="52"/>
      <c r="D996" s="52"/>
      <c r="E996" s="55"/>
    </row>
    <row r="997" spans="1:5" x14ac:dyDescent="0.25">
      <c r="A997" s="79">
        <f t="shared" si="15"/>
        <v>993</v>
      </c>
      <c r="B997" s="74"/>
      <c r="C997" s="52"/>
      <c r="D997" s="52"/>
      <c r="E997" s="55"/>
    </row>
    <row r="998" spans="1:5" x14ac:dyDescent="0.25">
      <c r="A998" s="79">
        <f t="shared" si="15"/>
        <v>994</v>
      </c>
      <c r="B998" s="74"/>
      <c r="C998" s="52"/>
      <c r="D998" s="52"/>
      <c r="E998" s="55"/>
    </row>
    <row r="999" spans="1:5" x14ac:dyDescent="0.25">
      <c r="A999" s="79">
        <f t="shared" si="15"/>
        <v>995</v>
      </c>
      <c r="B999" s="74"/>
      <c r="C999" s="52"/>
      <c r="D999" s="52"/>
      <c r="E999" s="55"/>
    </row>
    <row r="1000" spans="1:5" x14ac:dyDescent="0.25">
      <c r="A1000" s="79">
        <f t="shared" si="15"/>
        <v>996</v>
      </c>
      <c r="B1000" s="74"/>
      <c r="C1000" s="52"/>
      <c r="D1000" s="52"/>
      <c r="E1000" s="55"/>
    </row>
    <row r="1001" spans="1:5" x14ac:dyDescent="0.25">
      <c r="A1001" s="79">
        <f t="shared" si="15"/>
        <v>997</v>
      </c>
      <c r="B1001" s="74"/>
      <c r="C1001" s="52"/>
      <c r="D1001" s="52"/>
      <c r="E1001" s="55"/>
    </row>
    <row r="1002" spans="1:5" x14ac:dyDescent="0.25">
      <c r="A1002" s="79">
        <f t="shared" si="15"/>
        <v>998</v>
      </c>
      <c r="B1002" s="74"/>
      <c r="C1002" s="52"/>
      <c r="D1002" s="52"/>
      <c r="E1002" s="55"/>
    </row>
    <row r="1003" spans="1:5" x14ac:dyDescent="0.25">
      <c r="A1003" s="79">
        <f t="shared" si="15"/>
        <v>999</v>
      </c>
      <c r="B1003" s="74"/>
      <c r="C1003" s="52"/>
      <c r="D1003" s="52"/>
      <c r="E1003" s="55"/>
    </row>
    <row r="1004" spans="1:5" x14ac:dyDescent="0.25">
      <c r="A1004" s="79">
        <f t="shared" si="15"/>
        <v>1000</v>
      </c>
      <c r="B1004" s="74"/>
      <c r="C1004" s="52"/>
      <c r="D1004" s="52"/>
      <c r="E1004" s="55"/>
    </row>
    <row r="1005" spans="1:5" x14ac:dyDescent="0.25">
      <c r="A1005" s="79">
        <f t="shared" si="15"/>
        <v>1001</v>
      </c>
      <c r="B1005" s="74"/>
      <c r="C1005" s="52"/>
      <c r="D1005" s="52"/>
      <c r="E1005" s="55"/>
    </row>
    <row r="1006" spans="1:5" x14ac:dyDescent="0.25">
      <c r="A1006" s="79">
        <f t="shared" si="15"/>
        <v>1002</v>
      </c>
      <c r="B1006" s="74"/>
      <c r="C1006" s="52"/>
      <c r="D1006" s="52"/>
      <c r="E1006" s="55"/>
    </row>
    <row r="1007" spans="1:5" x14ac:dyDescent="0.25">
      <c r="A1007" s="79">
        <f t="shared" si="15"/>
        <v>1003</v>
      </c>
      <c r="B1007" s="74"/>
      <c r="C1007" s="52"/>
      <c r="D1007" s="52"/>
      <c r="E1007" s="55"/>
    </row>
    <row r="1008" spans="1:5" x14ac:dyDescent="0.25">
      <c r="A1008" s="79">
        <f t="shared" si="15"/>
        <v>1004</v>
      </c>
      <c r="B1008" s="74"/>
      <c r="C1008" s="52"/>
      <c r="D1008" s="52"/>
      <c r="E1008" s="55"/>
    </row>
    <row r="1009" spans="1:5" x14ac:dyDescent="0.25">
      <c r="A1009" s="79">
        <f t="shared" si="15"/>
        <v>1005</v>
      </c>
      <c r="B1009" s="74"/>
      <c r="C1009" s="52"/>
      <c r="D1009" s="52"/>
      <c r="E1009" s="55"/>
    </row>
    <row r="1010" spans="1:5" x14ac:dyDescent="0.25">
      <c r="A1010" s="79">
        <f t="shared" si="15"/>
        <v>1006</v>
      </c>
      <c r="B1010" s="74"/>
      <c r="C1010" s="52"/>
      <c r="D1010" s="52"/>
      <c r="E1010" s="55"/>
    </row>
    <row r="1011" spans="1:5" x14ac:dyDescent="0.25">
      <c r="A1011" s="79">
        <f t="shared" si="15"/>
        <v>1007</v>
      </c>
      <c r="B1011" s="74"/>
      <c r="C1011" s="52"/>
      <c r="D1011" s="52"/>
      <c r="E1011" s="55"/>
    </row>
    <row r="1012" spans="1:5" x14ac:dyDescent="0.25">
      <c r="A1012" s="79">
        <f t="shared" si="15"/>
        <v>1008</v>
      </c>
      <c r="B1012" s="74"/>
      <c r="C1012" s="52"/>
      <c r="D1012" s="52"/>
      <c r="E1012" s="55"/>
    </row>
    <row r="1013" spans="1:5" x14ac:dyDescent="0.25">
      <c r="A1013" s="79">
        <f t="shared" si="15"/>
        <v>1009</v>
      </c>
      <c r="B1013" s="74"/>
      <c r="C1013" s="52"/>
      <c r="D1013" s="52"/>
      <c r="E1013" s="55"/>
    </row>
    <row r="1014" spans="1:5" x14ac:dyDescent="0.25">
      <c r="A1014" s="79">
        <f t="shared" si="15"/>
        <v>1010</v>
      </c>
      <c r="B1014" s="74"/>
      <c r="C1014" s="52"/>
      <c r="D1014" s="52"/>
      <c r="E1014" s="55"/>
    </row>
    <row r="1015" spans="1:5" x14ac:dyDescent="0.25">
      <c r="A1015" s="79">
        <f t="shared" si="15"/>
        <v>1011</v>
      </c>
      <c r="B1015" s="74"/>
      <c r="C1015" s="52"/>
      <c r="D1015" s="52"/>
      <c r="E1015" s="55"/>
    </row>
    <row r="1016" spans="1:5" x14ac:dyDescent="0.25">
      <c r="A1016" s="79">
        <f t="shared" si="15"/>
        <v>1012</v>
      </c>
      <c r="B1016" s="74"/>
      <c r="C1016" s="52"/>
      <c r="D1016" s="52"/>
      <c r="E1016" s="55"/>
    </row>
    <row r="1017" spans="1:5" x14ac:dyDescent="0.25">
      <c r="A1017" s="79">
        <f t="shared" si="15"/>
        <v>1013</v>
      </c>
      <c r="B1017" s="74"/>
      <c r="C1017" s="52"/>
      <c r="D1017" s="52"/>
      <c r="E1017" s="55"/>
    </row>
    <row r="1018" spans="1:5" x14ac:dyDescent="0.25">
      <c r="A1018" s="79">
        <f t="shared" si="15"/>
        <v>1014</v>
      </c>
      <c r="B1018" s="74"/>
      <c r="C1018" s="52"/>
      <c r="D1018" s="52"/>
      <c r="E1018" s="55"/>
    </row>
    <row r="1019" spans="1:5" x14ac:dyDescent="0.25">
      <c r="A1019" s="79">
        <f t="shared" si="15"/>
        <v>1015</v>
      </c>
      <c r="B1019" s="74"/>
      <c r="C1019" s="52"/>
      <c r="D1019" s="52"/>
      <c r="E1019" s="55"/>
    </row>
    <row r="1020" spans="1:5" x14ac:dyDescent="0.25">
      <c r="A1020" s="79">
        <f t="shared" si="15"/>
        <v>1016</v>
      </c>
      <c r="B1020" s="74"/>
      <c r="C1020" s="52"/>
      <c r="D1020" s="52"/>
      <c r="E1020" s="55"/>
    </row>
    <row r="1021" spans="1:5" x14ac:dyDescent="0.25">
      <c r="A1021" s="79">
        <f t="shared" si="15"/>
        <v>1017</v>
      </c>
      <c r="B1021" s="74"/>
      <c r="C1021" s="52"/>
      <c r="D1021" s="52"/>
      <c r="E1021" s="55"/>
    </row>
    <row r="1022" spans="1:5" x14ac:dyDescent="0.25">
      <c r="A1022" s="79">
        <f t="shared" si="15"/>
        <v>1018</v>
      </c>
      <c r="B1022" s="74"/>
      <c r="C1022" s="52"/>
      <c r="D1022" s="52"/>
      <c r="E1022" s="55"/>
    </row>
    <row r="1023" spans="1:5" x14ac:dyDescent="0.25">
      <c r="A1023" s="79">
        <f t="shared" si="15"/>
        <v>1019</v>
      </c>
      <c r="B1023" s="74"/>
      <c r="C1023" s="52"/>
      <c r="D1023" s="52"/>
      <c r="E1023" s="55"/>
    </row>
    <row r="1024" spans="1:5" x14ac:dyDescent="0.25">
      <c r="A1024" s="79">
        <f t="shared" si="15"/>
        <v>1020</v>
      </c>
      <c r="B1024" s="74"/>
      <c r="C1024" s="52"/>
      <c r="D1024" s="52"/>
      <c r="E1024" s="55"/>
    </row>
    <row r="1025" spans="1:5" x14ac:dyDescent="0.25">
      <c r="A1025" s="79">
        <f t="shared" si="15"/>
        <v>1021</v>
      </c>
      <c r="B1025" s="74"/>
      <c r="C1025" s="52"/>
      <c r="D1025" s="52"/>
      <c r="E1025" s="55"/>
    </row>
    <row r="1026" spans="1:5" x14ac:dyDescent="0.25">
      <c r="A1026" s="79">
        <f t="shared" si="15"/>
        <v>1022</v>
      </c>
      <c r="B1026" s="74"/>
      <c r="C1026" s="52"/>
      <c r="D1026" s="52"/>
      <c r="E1026" s="55"/>
    </row>
    <row r="1027" spans="1:5" x14ac:dyDescent="0.25">
      <c r="A1027" s="79">
        <f t="shared" si="15"/>
        <v>1023</v>
      </c>
      <c r="B1027" s="74"/>
      <c r="C1027" s="52"/>
      <c r="D1027" s="52"/>
      <c r="E1027" s="55"/>
    </row>
    <row r="1028" spans="1:5" x14ac:dyDescent="0.25">
      <c r="A1028" s="79">
        <f t="shared" si="15"/>
        <v>1024</v>
      </c>
      <c r="B1028" s="74"/>
      <c r="C1028" s="52"/>
      <c r="D1028" s="52"/>
      <c r="E1028" s="55"/>
    </row>
    <row r="1029" spans="1:5" x14ac:dyDescent="0.25">
      <c r="A1029" s="79">
        <f t="shared" ref="A1029:A1038" si="16">ROW()-4</f>
        <v>1025</v>
      </c>
      <c r="B1029" s="74"/>
      <c r="C1029" s="52"/>
      <c r="D1029" s="52"/>
      <c r="E1029" s="55"/>
    </row>
    <row r="1030" spans="1:5" x14ac:dyDescent="0.25">
      <c r="A1030" s="79">
        <f t="shared" si="16"/>
        <v>1026</v>
      </c>
      <c r="B1030" s="74"/>
      <c r="C1030" s="52"/>
      <c r="D1030" s="52"/>
      <c r="E1030" s="55"/>
    </row>
    <row r="1031" spans="1:5" x14ac:dyDescent="0.25">
      <c r="A1031" s="79">
        <f t="shared" si="16"/>
        <v>1027</v>
      </c>
      <c r="B1031" s="74"/>
      <c r="C1031" s="52"/>
      <c r="D1031" s="52"/>
      <c r="E1031" s="55"/>
    </row>
    <row r="1032" spans="1:5" x14ac:dyDescent="0.25">
      <c r="A1032" s="79">
        <f t="shared" si="16"/>
        <v>1028</v>
      </c>
      <c r="B1032" s="74"/>
      <c r="C1032" s="52"/>
      <c r="D1032" s="52"/>
      <c r="E1032" s="55"/>
    </row>
    <row r="1033" spans="1:5" x14ac:dyDescent="0.25">
      <c r="A1033" s="79">
        <f t="shared" si="16"/>
        <v>1029</v>
      </c>
      <c r="B1033" s="74"/>
      <c r="C1033" s="52"/>
      <c r="D1033" s="52"/>
      <c r="E1033" s="55"/>
    </row>
    <row r="1034" spans="1:5" x14ac:dyDescent="0.25">
      <c r="A1034" s="79">
        <f t="shared" si="16"/>
        <v>1030</v>
      </c>
      <c r="B1034" s="74"/>
      <c r="C1034" s="52"/>
      <c r="D1034" s="52"/>
      <c r="E1034" s="55"/>
    </row>
    <row r="1035" spans="1:5" x14ac:dyDescent="0.25">
      <c r="A1035" s="79">
        <f t="shared" si="16"/>
        <v>1031</v>
      </c>
      <c r="B1035" s="74"/>
      <c r="C1035" s="52"/>
      <c r="D1035" s="52"/>
      <c r="E1035" s="55"/>
    </row>
    <row r="1036" spans="1:5" x14ac:dyDescent="0.25">
      <c r="A1036" s="79">
        <f t="shared" si="16"/>
        <v>1032</v>
      </c>
      <c r="B1036" s="74"/>
      <c r="C1036" s="52"/>
      <c r="D1036" s="52"/>
      <c r="E1036" s="55"/>
    </row>
    <row r="1037" spans="1:5" x14ac:dyDescent="0.25">
      <c r="A1037" s="79">
        <f t="shared" si="16"/>
        <v>1033</v>
      </c>
      <c r="B1037" s="74"/>
      <c r="C1037" s="52"/>
      <c r="D1037" s="52"/>
      <c r="E1037" s="55"/>
    </row>
    <row r="1038" spans="1:5" x14ac:dyDescent="0.25">
      <c r="A1038" s="49">
        <f t="shared" si="16"/>
        <v>1034</v>
      </c>
      <c r="B1038" s="73"/>
      <c r="C1038" s="50"/>
      <c r="D1038" s="50"/>
      <c r="E1038" s="51"/>
    </row>
  </sheetData>
  <mergeCells count="1">
    <mergeCell ref="A1:E1"/>
  </mergeCells>
  <dataValidations count="1">
    <dataValidation type="whole" allowBlank="1" showInputMessage="1" showErrorMessage="1" sqref="D5" xr:uid="{B324C38A-1521-4447-88A3-62DDFF82B5E4}">
      <formula1>1</formula1>
      <formula2>999999999999999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072BD5E-7179-4128-AF65-D0D5B48227BF}">
          <x14:formula1>
            <xm:f>'Data Barang'!$B$4:$B$190</xm:f>
          </x14:formula1>
          <xm:sqref>C5:C42 C44:C1038 F45</xm:sqref>
        </x14:dataValidation>
        <x14:dataValidation type="list" allowBlank="1" showInputMessage="1" showErrorMessage="1" xr:uid="{77C089C0-5602-4CBA-A982-9CA5A8F30D87}">
          <x14:formula1>
            <xm:f>'Data Barang'!$B$4:$B$176</xm:f>
          </x14:formula1>
          <xm:sqref>C43 H34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13AA0-3944-40F5-9B22-A0209B8FADD3}">
  <sheetPr>
    <tabColor rgb="FF00B050"/>
  </sheetPr>
  <dimension ref="A1:I187"/>
  <sheetViews>
    <sheetView zoomScale="70" zoomScaleNormal="70" workbookViewId="0">
      <selection activeCell="D3" sqref="D3"/>
    </sheetView>
  </sheetViews>
  <sheetFormatPr defaultColWidth="8.7109375" defaultRowHeight="14.25" x14ac:dyDescent="0.2"/>
  <cols>
    <col min="1" max="1" width="8.7109375" style="1"/>
    <col min="2" max="2" width="58.42578125" style="1" customWidth="1"/>
    <col min="3" max="3" width="10.5703125" style="1" customWidth="1"/>
    <col min="4" max="4" width="14" style="1" customWidth="1"/>
    <col min="5" max="5" width="15.5703125" style="1" customWidth="1"/>
    <col min="6" max="6" width="16.140625" style="1" customWidth="1"/>
    <col min="7" max="7" width="13.140625" style="1" customWidth="1"/>
    <col min="8" max="8" width="11.42578125" style="1" customWidth="1"/>
    <col min="9" max="9" width="11.7109375" style="1" customWidth="1"/>
    <col min="10" max="16384" width="8.7109375" style="1"/>
  </cols>
  <sheetData>
    <row r="1" spans="1:9" x14ac:dyDescent="0.2">
      <c r="A1" s="81" t="s">
        <v>171</v>
      </c>
      <c r="B1" s="81"/>
      <c r="C1" s="81"/>
      <c r="D1" s="81"/>
      <c r="E1" s="81"/>
      <c r="F1" s="81"/>
      <c r="G1" s="81"/>
    </row>
    <row r="3" spans="1:9" x14ac:dyDescent="0.2">
      <c r="C3" s="1" t="s">
        <v>172</v>
      </c>
      <c r="D3" s="70" t="s">
        <v>221</v>
      </c>
      <c r="F3" s="61"/>
      <c r="G3" s="61"/>
      <c r="H3" s="1" t="s">
        <v>223</v>
      </c>
      <c r="I3" s="1" t="s">
        <v>224</v>
      </c>
    </row>
    <row r="4" spans="1:9" x14ac:dyDescent="0.2">
      <c r="C4" s="1" t="s">
        <v>173</v>
      </c>
      <c r="D4" s="70">
        <v>2026</v>
      </c>
      <c r="H4" s="61">
        <f>DATE($D$4,MATCH($D$3,Bantu!$C$3:$C$14,),1)</f>
        <v>46296</v>
      </c>
      <c r="I4" s="61">
        <f>EDATE(H4,1)-1</f>
        <v>46326</v>
      </c>
    </row>
    <row r="6" spans="1:9" x14ac:dyDescent="0.2">
      <c r="A6" s="62" t="s">
        <v>166</v>
      </c>
      <c r="B6" s="63" t="s">
        <v>168</v>
      </c>
      <c r="C6" s="63" t="s">
        <v>238</v>
      </c>
      <c r="D6" s="63" t="s">
        <v>174</v>
      </c>
      <c r="E6" s="63" t="s">
        <v>176</v>
      </c>
      <c r="F6" s="63" t="s">
        <v>175</v>
      </c>
      <c r="G6" s="64" t="s">
        <v>121</v>
      </c>
    </row>
    <row r="7" spans="1:9" x14ac:dyDescent="0.2">
      <c r="A7" s="65">
        <f>ROW()-6</f>
        <v>1</v>
      </c>
      <c r="B7" s="58" t="s">
        <v>7</v>
      </c>
      <c r="C7" s="5" t="s">
        <v>1</v>
      </c>
      <c r="D7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-9</v>
      </c>
      <c r="E7" s="3">
        <f>SUMIFS(Table2[Jumlah],Table2[Nama Barang],Table4[[#This Row],[Nama Barang]],Table2[Tanggal Masuk],"&gt;="&amp;'Sisa Stok Barang'!$H$4,Table2[Tanggal Masuk],"&lt;="&amp;'Sisa Stok Barang'!$I$4)</f>
        <v>0</v>
      </c>
      <c r="F7" s="3">
        <f>SUMIFS(Table3[Jumlah],Table3[Nama Barang],Table4[[#This Row],[Nama Barang]],Table3[Tanggal Keluar],"&gt;="&amp;'Sisa Stok Barang'!$H$4,Table3[Tanggal Keluar],"&lt;="&amp;'Sisa Stok Barang'!$I$4)</f>
        <v>0</v>
      </c>
      <c r="G7" s="66">
        <f>Table4[[#This Row],[Stok Awal]]+Table4[[#This Row],[Jumlah Masuk]]-Table4[[#This Row],[Jumlah Keluar]]</f>
        <v>-9</v>
      </c>
    </row>
    <row r="8" spans="1:9" x14ac:dyDescent="0.2">
      <c r="A8" s="65">
        <f t="shared" ref="A8:A71" si="0">ROW()-6</f>
        <v>2</v>
      </c>
      <c r="B8" s="56" t="s">
        <v>8</v>
      </c>
      <c r="C8" s="5" t="s">
        <v>1</v>
      </c>
      <c r="D8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3</v>
      </c>
      <c r="E8" s="3">
        <f>SUMIFS(Table2[Jumlah],Table2[Nama Barang],Table4[[#This Row],[Nama Barang]],Table2[Tanggal Masuk],"&gt;="&amp;'Sisa Stok Barang'!$H$4,Table2[Tanggal Masuk],"&lt;="&amp;'Sisa Stok Barang'!$I$4)</f>
        <v>0</v>
      </c>
      <c r="F8" s="3">
        <f>SUMIFS(Table3[Jumlah],Table3[Nama Barang],Table4[[#This Row],[Nama Barang]],Table3[Tanggal Keluar],"&gt;="&amp;'Sisa Stok Barang'!$H$4,Table3[Tanggal Keluar],"&lt;="&amp;'Sisa Stok Barang'!$I$4)</f>
        <v>0</v>
      </c>
      <c r="G8" s="66">
        <f>Table4[[#This Row],[Stok Awal]]+Table4[[#This Row],[Jumlah Masuk]]-Table4[[#This Row],[Jumlah Keluar]]</f>
        <v>3</v>
      </c>
    </row>
    <row r="9" spans="1:9" x14ac:dyDescent="0.2">
      <c r="A9" s="65">
        <f t="shared" si="0"/>
        <v>3</v>
      </c>
      <c r="B9" s="58" t="s">
        <v>9</v>
      </c>
      <c r="C9" s="5" t="s">
        <v>1</v>
      </c>
      <c r="D9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15</v>
      </c>
      <c r="E9" s="3">
        <f>SUMIFS(Table2[Jumlah],Table2[Nama Barang],Table4[[#This Row],[Nama Barang]],Table2[Tanggal Masuk],"&gt;="&amp;'Sisa Stok Barang'!$H$4,Table2[Tanggal Masuk],"&lt;="&amp;'Sisa Stok Barang'!$I$4)</f>
        <v>0</v>
      </c>
      <c r="F9" s="3">
        <f>SUMIFS(Table3[Jumlah],Table3[Nama Barang],Table4[[#This Row],[Nama Barang]],Table3[Tanggal Keluar],"&gt;="&amp;'Sisa Stok Barang'!$H$4,Table3[Tanggal Keluar],"&lt;="&amp;'Sisa Stok Barang'!$I$4)</f>
        <v>0</v>
      </c>
      <c r="G9" s="66">
        <f>Table4[[#This Row],[Stok Awal]]+Table4[[#This Row],[Jumlah Masuk]]-Table4[[#This Row],[Jumlah Keluar]]</f>
        <v>15</v>
      </c>
    </row>
    <row r="10" spans="1:9" x14ac:dyDescent="0.2">
      <c r="A10" s="65">
        <f t="shared" si="0"/>
        <v>4</v>
      </c>
      <c r="B10" s="56" t="s">
        <v>10</v>
      </c>
      <c r="C10" s="5" t="s">
        <v>1</v>
      </c>
      <c r="D10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11</v>
      </c>
      <c r="E10" s="3">
        <f>SUMIFS(Table2[Jumlah],Table2[Nama Barang],Table4[[#This Row],[Nama Barang]],Table2[Tanggal Masuk],"&gt;="&amp;'Sisa Stok Barang'!$H$4,Table2[Tanggal Masuk],"&lt;="&amp;'Sisa Stok Barang'!$I$4)</f>
        <v>0</v>
      </c>
      <c r="F10" s="3">
        <f>SUMIFS(Table3[Jumlah],Table3[Nama Barang],Table4[[#This Row],[Nama Barang]],Table3[Tanggal Keluar],"&gt;="&amp;'Sisa Stok Barang'!$H$4,Table3[Tanggal Keluar],"&lt;="&amp;'Sisa Stok Barang'!$I$4)</f>
        <v>0</v>
      </c>
      <c r="G10" s="66">
        <f>Table4[[#This Row],[Stok Awal]]+Table4[[#This Row],[Jumlah Masuk]]-Table4[[#This Row],[Jumlah Keluar]]</f>
        <v>11</v>
      </c>
    </row>
    <row r="11" spans="1:9" x14ac:dyDescent="0.2">
      <c r="A11" s="65">
        <f t="shared" si="0"/>
        <v>5</v>
      </c>
      <c r="B11" s="58" t="s">
        <v>105</v>
      </c>
      <c r="C11" s="18" t="s">
        <v>1</v>
      </c>
      <c r="D11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15</v>
      </c>
      <c r="E11" s="3">
        <f>SUMIFS(Table2[Jumlah],Table2[Nama Barang],Table4[[#This Row],[Nama Barang]],Table2[Tanggal Masuk],"&gt;="&amp;'Sisa Stok Barang'!$H$4,Table2[Tanggal Masuk],"&lt;="&amp;'Sisa Stok Barang'!$I$4)</f>
        <v>0</v>
      </c>
      <c r="F11" s="3">
        <f>SUMIFS(Table3[Jumlah],Table3[Nama Barang],Table4[[#This Row],[Nama Barang]],Table3[Tanggal Keluar],"&gt;="&amp;'Sisa Stok Barang'!$H$4,Table3[Tanggal Keluar],"&lt;="&amp;'Sisa Stok Barang'!$I$4)</f>
        <v>0</v>
      </c>
      <c r="G11" s="66">
        <f>Table4[[#This Row],[Stok Awal]]+Table4[[#This Row],[Jumlah Masuk]]-Table4[[#This Row],[Jumlah Keluar]]</f>
        <v>15</v>
      </c>
    </row>
    <row r="12" spans="1:9" x14ac:dyDescent="0.2">
      <c r="A12" s="65">
        <f t="shared" si="0"/>
        <v>6</v>
      </c>
      <c r="B12" s="56" t="s">
        <v>147</v>
      </c>
      <c r="C12" s="5" t="s">
        <v>1</v>
      </c>
      <c r="D12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17</v>
      </c>
      <c r="E12" s="3">
        <f>SUMIFS(Table2[Jumlah],Table2[Nama Barang],Table4[[#This Row],[Nama Barang]],Table2[Tanggal Masuk],"&gt;="&amp;'Sisa Stok Barang'!$H$4,Table2[Tanggal Masuk],"&lt;="&amp;'Sisa Stok Barang'!$I$4)</f>
        <v>0</v>
      </c>
      <c r="F12" s="3">
        <f>SUMIFS(Table3[Jumlah],Table3[Nama Barang],Table4[[#This Row],[Nama Barang]],Table3[Tanggal Keluar],"&gt;="&amp;'Sisa Stok Barang'!$H$4,Table3[Tanggal Keluar],"&lt;="&amp;'Sisa Stok Barang'!$I$4)</f>
        <v>0</v>
      </c>
      <c r="G12" s="66">
        <f>Table4[[#This Row],[Stok Awal]]+Table4[[#This Row],[Jumlah Masuk]]-Table4[[#This Row],[Jumlah Keluar]]</f>
        <v>17</v>
      </c>
    </row>
    <row r="13" spans="1:9" x14ac:dyDescent="0.2">
      <c r="A13" s="65">
        <f t="shared" si="0"/>
        <v>7</v>
      </c>
      <c r="B13" s="58" t="s">
        <v>11</v>
      </c>
      <c r="C13" s="5" t="s">
        <v>1</v>
      </c>
      <c r="D13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8</v>
      </c>
      <c r="E13" s="3">
        <f>SUMIFS(Table2[Jumlah],Table2[Nama Barang],Table4[[#This Row],[Nama Barang]],Table2[Tanggal Masuk],"&gt;="&amp;'Sisa Stok Barang'!$H$4,Table2[Tanggal Masuk],"&lt;="&amp;'Sisa Stok Barang'!$I$4)</f>
        <v>0</v>
      </c>
      <c r="F13" s="3">
        <f>SUMIFS(Table3[Jumlah],Table3[Nama Barang],Table4[[#This Row],[Nama Barang]],Table3[Tanggal Keluar],"&gt;="&amp;'Sisa Stok Barang'!$H$4,Table3[Tanggal Keluar],"&lt;="&amp;'Sisa Stok Barang'!$I$4)</f>
        <v>0</v>
      </c>
      <c r="G13" s="66">
        <f>Table4[[#This Row],[Stok Awal]]+Table4[[#This Row],[Jumlah Masuk]]-Table4[[#This Row],[Jumlah Keluar]]</f>
        <v>8</v>
      </c>
    </row>
    <row r="14" spans="1:9" x14ac:dyDescent="0.2">
      <c r="A14" s="65">
        <f t="shared" si="0"/>
        <v>8</v>
      </c>
      <c r="B14" s="56" t="s">
        <v>69</v>
      </c>
      <c r="C14" s="5" t="s">
        <v>1</v>
      </c>
      <c r="D14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10</v>
      </c>
      <c r="E14" s="3">
        <f>SUMIFS(Table2[Jumlah],Table2[Nama Barang],Table4[[#This Row],[Nama Barang]],Table2[Tanggal Masuk],"&gt;="&amp;'Sisa Stok Barang'!$H$4,Table2[Tanggal Masuk],"&lt;="&amp;'Sisa Stok Barang'!$I$4)</f>
        <v>0</v>
      </c>
      <c r="F14" s="3">
        <f>SUMIFS(Table3[Jumlah],Table3[Nama Barang],Table4[[#This Row],[Nama Barang]],Table3[Tanggal Keluar],"&gt;="&amp;'Sisa Stok Barang'!$H$4,Table3[Tanggal Keluar],"&lt;="&amp;'Sisa Stok Barang'!$I$4)</f>
        <v>0</v>
      </c>
      <c r="G14" s="66">
        <f>Table4[[#This Row],[Stok Awal]]+Table4[[#This Row],[Jumlah Masuk]]-Table4[[#This Row],[Jumlah Keluar]]</f>
        <v>10</v>
      </c>
    </row>
    <row r="15" spans="1:9" x14ac:dyDescent="0.2">
      <c r="A15" s="65">
        <f t="shared" si="0"/>
        <v>9</v>
      </c>
      <c r="B15" s="58" t="s">
        <v>14</v>
      </c>
      <c r="C15" s="5" t="s">
        <v>1</v>
      </c>
      <c r="D15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40</v>
      </c>
      <c r="E15" s="3">
        <f>SUMIFS(Table2[Jumlah],Table2[Nama Barang],Table4[[#This Row],[Nama Barang]],Table2[Tanggal Masuk],"&gt;="&amp;'Sisa Stok Barang'!$H$4,Table2[Tanggal Masuk],"&lt;="&amp;'Sisa Stok Barang'!$I$4)</f>
        <v>0</v>
      </c>
      <c r="F15" s="3">
        <f>SUMIFS(Table3[Jumlah],Table3[Nama Barang],Table4[[#This Row],[Nama Barang]],Table3[Tanggal Keluar],"&gt;="&amp;'Sisa Stok Barang'!$H$4,Table3[Tanggal Keluar],"&lt;="&amp;'Sisa Stok Barang'!$I$4)</f>
        <v>0</v>
      </c>
      <c r="G15" s="66">
        <f>Table4[[#This Row],[Stok Awal]]+Table4[[#This Row],[Jumlah Masuk]]-Table4[[#This Row],[Jumlah Keluar]]</f>
        <v>40</v>
      </c>
    </row>
    <row r="16" spans="1:9" x14ac:dyDescent="0.2">
      <c r="A16" s="65">
        <f t="shared" si="0"/>
        <v>10</v>
      </c>
      <c r="B16" s="56" t="s">
        <v>81</v>
      </c>
      <c r="C16" s="18" t="s">
        <v>1</v>
      </c>
      <c r="D16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30</v>
      </c>
      <c r="E16" s="3">
        <f>SUMIFS(Table2[Jumlah],Table2[Nama Barang],Table4[[#This Row],[Nama Barang]],Table2[Tanggal Masuk],"&gt;="&amp;'Sisa Stok Barang'!$H$4,Table2[Tanggal Masuk],"&lt;="&amp;'Sisa Stok Barang'!$I$4)</f>
        <v>0</v>
      </c>
      <c r="F16" s="3">
        <f>SUMIFS(Table3[Jumlah],Table3[Nama Barang],Table4[[#This Row],[Nama Barang]],Table3[Tanggal Keluar],"&gt;="&amp;'Sisa Stok Barang'!$H$4,Table3[Tanggal Keluar],"&lt;="&amp;'Sisa Stok Barang'!$I$4)</f>
        <v>0</v>
      </c>
      <c r="G16" s="66">
        <f>Table4[[#This Row],[Stok Awal]]+Table4[[#This Row],[Jumlah Masuk]]-Table4[[#This Row],[Jumlah Keluar]]</f>
        <v>30</v>
      </c>
    </row>
    <row r="17" spans="1:7" x14ac:dyDescent="0.2">
      <c r="A17" s="65">
        <f t="shared" si="0"/>
        <v>11</v>
      </c>
      <c r="B17" s="58" t="s">
        <v>82</v>
      </c>
      <c r="C17" s="18" t="s">
        <v>1</v>
      </c>
      <c r="D17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60</v>
      </c>
      <c r="E17" s="3">
        <f>SUMIFS(Table2[Jumlah],Table2[Nama Barang],Table4[[#This Row],[Nama Barang]],Table2[Tanggal Masuk],"&gt;="&amp;'Sisa Stok Barang'!$H$4,Table2[Tanggal Masuk],"&lt;="&amp;'Sisa Stok Barang'!$I$4)</f>
        <v>0</v>
      </c>
      <c r="F17" s="3">
        <f>SUMIFS(Table3[Jumlah],Table3[Nama Barang],Table4[[#This Row],[Nama Barang]],Table3[Tanggal Keluar],"&gt;="&amp;'Sisa Stok Barang'!$H$4,Table3[Tanggal Keluar],"&lt;="&amp;'Sisa Stok Barang'!$I$4)</f>
        <v>0</v>
      </c>
      <c r="G17" s="66">
        <f>Table4[[#This Row],[Stok Awal]]+Table4[[#This Row],[Jumlah Masuk]]-Table4[[#This Row],[Jumlah Keluar]]</f>
        <v>60</v>
      </c>
    </row>
    <row r="18" spans="1:7" x14ac:dyDescent="0.2">
      <c r="A18" s="65">
        <f t="shared" si="0"/>
        <v>12</v>
      </c>
      <c r="B18" s="56" t="s">
        <v>78</v>
      </c>
      <c r="C18" s="18" t="s">
        <v>1</v>
      </c>
      <c r="D18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50</v>
      </c>
      <c r="E18" s="3">
        <f>SUMIFS(Table2[Jumlah],Table2[Nama Barang],Table4[[#This Row],[Nama Barang]],Table2[Tanggal Masuk],"&gt;="&amp;'Sisa Stok Barang'!$H$4,Table2[Tanggal Masuk],"&lt;="&amp;'Sisa Stok Barang'!$I$4)</f>
        <v>0</v>
      </c>
      <c r="F18" s="3">
        <f>SUMIFS(Table3[Jumlah],Table3[Nama Barang],Table4[[#This Row],[Nama Barang]],Table3[Tanggal Keluar],"&gt;="&amp;'Sisa Stok Barang'!$H$4,Table3[Tanggal Keluar],"&lt;="&amp;'Sisa Stok Barang'!$I$4)</f>
        <v>0</v>
      </c>
      <c r="G18" s="66">
        <f>Table4[[#This Row],[Stok Awal]]+Table4[[#This Row],[Jumlah Masuk]]-Table4[[#This Row],[Jumlah Keluar]]</f>
        <v>50</v>
      </c>
    </row>
    <row r="19" spans="1:7" x14ac:dyDescent="0.2">
      <c r="A19" s="65">
        <f t="shared" si="0"/>
        <v>13</v>
      </c>
      <c r="B19" s="58" t="s">
        <v>80</v>
      </c>
      <c r="C19" s="18" t="s">
        <v>1</v>
      </c>
      <c r="D19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30</v>
      </c>
      <c r="E19" s="3">
        <f>SUMIFS(Table2[Jumlah],Table2[Nama Barang],Table4[[#This Row],[Nama Barang]],Table2[Tanggal Masuk],"&gt;="&amp;'Sisa Stok Barang'!$H$4,Table2[Tanggal Masuk],"&lt;="&amp;'Sisa Stok Barang'!$I$4)</f>
        <v>0</v>
      </c>
      <c r="F19" s="3">
        <f>SUMIFS(Table3[Jumlah],Table3[Nama Barang],Table4[[#This Row],[Nama Barang]],Table3[Tanggal Keluar],"&gt;="&amp;'Sisa Stok Barang'!$H$4,Table3[Tanggal Keluar],"&lt;="&amp;'Sisa Stok Barang'!$I$4)</f>
        <v>0</v>
      </c>
      <c r="G19" s="66">
        <f>Table4[[#This Row],[Stok Awal]]+Table4[[#This Row],[Jumlah Masuk]]-Table4[[#This Row],[Jumlah Keluar]]</f>
        <v>30</v>
      </c>
    </row>
    <row r="20" spans="1:7" x14ac:dyDescent="0.2">
      <c r="A20" s="65">
        <f t="shared" si="0"/>
        <v>14</v>
      </c>
      <c r="B20" s="60" t="s">
        <v>79</v>
      </c>
      <c r="C20" s="18" t="s">
        <v>1</v>
      </c>
      <c r="D20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300</v>
      </c>
      <c r="E20" s="3">
        <f>SUMIFS(Table2[Jumlah],Table2[Nama Barang],Table4[[#This Row],[Nama Barang]],Table2[Tanggal Masuk],"&gt;="&amp;'Sisa Stok Barang'!$H$4,Table2[Tanggal Masuk],"&lt;="&amp;'Sisa Stok Barang'!$I$4)</f>
        <v>0</v>
      </c>
      <c r="F20" s="3">
        <f>SUMIFS(Table3[Jumlah],Table3[Nama Barang],Table4[[#This Row],[Nama Barang]],Table3[Tanggal Keluar],"&gt;="&amp;'Sisa Stok Barang'!$H$4,Table3[Tanggal Keluar],"&lt;="&amp;'Sisa Stok Barang'!$I$4)</f>
        <v>0</v>
      </c>
      <c r="G20" s="66">
        <f>Table4[[#This Row],[Stok Awal]]+Table4[[#This Row],[Jumlah Masuk]]-Table4[[#This Row],[Jumlah Keluar]]</f>
        <v>300</v>
      </c>
    </row>
    <row r="21" spans="1:7" x14ac:dyDescent="0.2">
      <c r="A21" s="65">
        <f t="shared" si="0"/>
        <v>15</v>
      </c>
      <c r="B21" s="58" t="s">
        <v>13</v>
      </c>
      <c r="C21" s="5" t="s">
        <v>1</v>
      </c>
      <c r="D21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150</v>
      </c>
      <c r="E21" s="3">
        <f>SUMIFS(Table2[Jumlah],Table2[Nama Barang],Table4[[#This Row],[Nama Barang]],Table2[Tanggal Masuk],"&gt;="&amp;'Sisa Stok Barang'!$H$4,Table2[Tanggal Masuk],"&lt;="&amp;'Sisa Stok Barang'!$I$4)</f>
        <v>0</v>
      </c>
      <c r="F21" s="3">
        <f>SUMIFS(Table3[Jumlah],Table3[Nama Barang],Table4[[#This Row],[Nama Barang]],Table3[Tanggal Keluar],"&gt;="&amp;'Sisa Stok Barang'!$H$4,Table3[Tanggal Keluar],"&lt;="&amp;'Sisa Stok Barang'!$I$4)</f>
        <v>0</v>
      </c>
      <c r="G21" s="66">
        <f>Table4[[#This Row],[Stok Awal]]+Table4[[#This Row],[Jumlah Masuk]]-Table4[[#This Row],[Jumlah Keluar]]</f>
        <v>150</v>
      </c>
    </row>
    <row r="22" spans="1:7" x14ac:dyDescent="0.2">
      <c r="A22" s="65">
        <f t="shared" si="0"/>
        <v>16</v>
      </c>
      <c r="B22" s="56" t="s">
        <v>12</v>
      </c>
      <c r="C22" s="5" t="s">
        <v>1</v>
      </c>
      <c r="D22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50</v>
      </c>
      <c r="E22" s="3">
        <f>SUMIFS(Table2[Jumlah],Table2[Nama Barang],Table4[[#This Row],[Nama Barang]],Table2[Tanggal Masuk],"&gt;="&amp;'Sisa Stok Barang'!$H$4,Table2[Tanggal Masuk],"&lt;="&amp;'Sisa Stok Barang'!$I$4)</f>
        <v>0</v>
      </c>
      <c r="F22" s="3">
        <f>SUMIFS(Table3[Jumlah],Table3[Nama Barang],Table4[[#This Row],[Nama Barang]],Table3[Tanggal Keluar],"&gt;="&amp;'Sisa Stok Barang'!$H$4,Table3[Tanggal Keluar],"&lt;="&amp;'Sisa Stok Barang'!$I$4)</f>
        <v>0</v>
      </c>
      <c r="G22" s="66">
        <f>Table4[[#This Row],[Stok Awal]]+Table4[[#This Row],[Jumlah Masuk]]-Table4[[#This Row],[Jumlah Keluar]]</f>
        <v>50</v>
      </c>
    </row>
    <row r="23" spans="1:7" x14ac:dyDescent="0.2">
      <c r="A23" s="65">
        <f t="shared" si="0"/>
        <v>17</v>
      </c>
      <c r="B23" s="58" t="s">
        <v>100</v>
      </c>
      <c r="C23" s="18" t="s">
        <v>1</v>
      </c>
      <c r="D23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50</v>
      </c>
      <c r="E23" s="3">
        <f>SUMIFS(Table2[Jumlah],Table2[Nama Barang],Table4[[#This Row],[Nama Barang]],Table2[Tanggal Masuk],"&gt;="&amp;'Sisa Stok Barang'!$H$4,Table2[Tanggal Masuk],"&lt;="&amp;'Sisa Stok Barang'!$I$4)</f>
        <v>0</v>
      </c>
      <c r="F23" s="3">
        <f>SUMIFS(Table3[Jumlah],Table3[Nama Barang],Table4[[#This Row],[Nama Barang]],Table3[Tanggal Keluar],"&gt;="&amp;'Sisa Stok Barang'!$H$4,Table3[Tanggal Keluar],"&lt;="&amp;'Sisa Stok Barang'!$I$4)</f>
        <v>0</v>
      </c>
      <c r="G23" s="66">
        <f>Table4[[#This Row],[Stok Awal]]+Table4[[#This Row],[Jumlah Masuk]]-Table4[[#This Row],[Jumlah Keluar]]</f>
        <v>50</v>
      </c>
    </row>
    <row r="24" spans="1:7" x14ac:dyDescent="0.2">
      <c r="A24" s="65">
        <f t="shared" si="0"/>
        <v>18</v>
      </c>
      <c r="B24" s="56" t="s">
        <v>15</v>
      </c>
      <c r="C24" s="5" t="s">
        <v>1</v>
      </c>
      <c r="D24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64</v>
      </c>
      <c r="E24" s="3">
        <f>SUMIFS(Table2[Jumlah],Table2[Nama Barang],Table4[[#This Row],[Nama Barang]],Table2[Tanggal Masuk],"&gt;="&amp;'Sisa Stok Barang'!$H$4,Table2[Tanggal Masuk],"&lt;="&amp;'Sisa Stok Barang'!$I$4)</f>
        <v>0</v>
      </c>
      <c r="F24" s="3">
        <f>SUMIFS(Table3[Jumlah],Table3[Nama Barang],Table4[[#This Row],[Nama Barang]],Table3[Tanggal Keluar],"&gt;="&amp;'Sisa Stok Barang'!$H$4,Table3[Tanggal Keluar],"&lt;="&amp;'Sisa Stok Barang'!$I$4)</f>
        <v>0</v>
      </c>
      <c r="G24" s="66">
        <f>Table4[[#This Row],[Stok Awal]]+Table4[[#This Row],[Jumlah Masuk]]-Table4[[#This Row],[Jumlah Keluar]]</f>
        <v>64</v>
      </c>
    </row>
    <row r="25" spans="1:7" x14ac:dyDescent="0.2">
      <c r="A25" s="65">
        <f t="shared" si="0"/>
        <v>19</v>
      </c>
      <c r="B25" s="58" t="s">
        <v>16</v>
      </c>
      <c r="C25" s="5" t="s">
        <v>1</v>
      </c>
      <c r="D25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4</v>
      </c>
      <c r="E25" s="3">
        <f>SUMIFS(Table2[Jumlah],Table2[Nama Barang],Table4[[#This Row],[Nama Barang]],Table2[Tanggal Masuk],"&gt;="&amp;'Sisa Stok Barang'!$H$4,Table2[Tanggal Masuk],"&lt;="&amp;'Sisa Stok Barang'!$I$4)</f>
        <v>0</v>
      </c>
      <c r="F25" s="3">
        <f>SUMIFS(Table3[Jumlah],Table3[Nama Barang],Table4[[#This Row],[Nama Barang]],Table3[Tanggal Keluar],"&gt;="&amp;'Sisa Stok Barang'!$H$4,Table3[Tanggal Keluar],"&lt;="&amp;'Sisa Stok Barang'!$I$4)</f>
        <v>0</v>
      </c>
      <c r="G25" s="66">
        <f>Table4[[#This Row],[Stok Awal]]+Table4[[#This Row],[Jumlah Masuk]]-Table4[[#This Row],[Jumlah Keluar]]</f>
        <v>4</v>
      </c>
    </row>
    <row r="26" spans="1:7" x14ac:dyDescent="0.2">
      <c r="A26" s="65">
        <f t="shared" si="0"/>
        <v>20</v>
      </c>
      <c r="B26" s="56" t="s">
        <v>17</v>
      </c>
      <c r="C26" s="5" t="s">
        <v>1</v>
      </c>
      <c r="D26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22</v>
      </c>
      <c r="E26" s="3">
        <f>SUMIFS(Table2[Jumlah],Table2[Nama Barang],Table4[[#This Row],[Nama Barang]],Table2[Tanggal Masuk],"&gt;="&amp;'Sisa Stok Barang'!$H$4,Table2[Tanggal Masuk],"&lt;="&amp;'Sisa Stok Barang'!$I$4)</f>
        <v>0</v>
      </c>
      <c r="F26" s="3">
        <f>SUMIFS(Table3[Jumlah],Table3[Nama Barang],Table4[[#This Row],[Nama Barang]],Table3[Tanggal Keluar],"&gt;="&amp;'Sisa Stok Barang'!$H$4,Table3[Tanggal Keluar],"&lt;="&amp;'Sisa Stok Barang'!$I$4)</f>
        <v>0</v>
      </c>
      <c r="G26" s="66">
        <f>Table4[[#This Row],[Stok Awal]]+Table4[[#This Row],[Jumlah Masuk]]-Table4[[#This Row],[Jumlah Keluar]]</f>
        <v>22</v>
      </c>
    </row>
    <row r="27" spans="1:7" x14ac:dyDescent="0.2">
      <c r="A27" s="65">
        <f t="shared" si="0"/>
        <v>21</v>
      </c>
      <c r="B27" s="58" t="s">
        <v>18</v>
      </c>
      <c r="C27" s="5" t="s">
        <v>1</v>
      </c>
      <c r="D27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80</v>
      </c>
      <c r="E27" s="3">
        <f>SUMIFS(Table2[Jumlah],Table2[Nama Barang],Table4[[#This Row],[Nama Barang]],Table2[Tanggal Masuk],"&gt;="&amp;'Sisa Stok Barang'!$H$4,Table2[Tanggal Masuk],"&lt;="&amp;'Sisa Stok Barang'!$I$4)</f>
        <v>0</v>
      </c>
      <c r="F27" s="3">
        <f>SUMIFS(Table3[Jumlah],Table3[Nama Barang],Table4[[#This Row],[Nama Barang]],Table3[Tanggal Keluar],"&gt;="&amp;'Sisa Stok Barang'!$H$4,Table3[Tanggal Keluar],"&lt;="&amp;'Sisa Stok Barang'!$I$4)</f>
        <v>0</v>
      </c>
      <c r="G27" s="66">
        <f>Table4[[#This Row],[Stok Awal]]+Table4[[#This Row],[Jumlah Masuk]]-Table4[[#This Row],[Jumlah Keluar]]</f>
        <v>80</v>
      </c>
    </row>
    <row r="28" spans="1:7" x14ac:dyDescent="0.2">
      <c r="A28" s="65">
        <f t="shared" si="0"/>
        <v>22</v>
      </c>
      <c r="B28" s="56" t="s">
        <v>19</v>
      </c>
      <c r="C28" s="5" t="s">
        <v>1</v>
      </c>
      <c r="D28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12</v>
      </c>
      <c r="E28" s="3">
        <f>SUMIFS(Table2[Jumlah],Table2[Nama Barang],Table4[[#This Row],[Nama Barang]],Table2[Tanggal Masuk],"&gt;="&amp;'Sisa Stok Barang'!$H$4,Table2[Tanggal Masuk],"&lt;="&amp;'Sisa Stok Barang'!$I$4)</f>
        <v>0</v>
      </c>
      <c r="F28" s="3">
        <f>SUMIFS(Table3[Jumlah],Table3[Nama Barang],Table4[[#This Row],[Nama Barang]],Table3[Tanggal Keluar],"&gt;="&amp;'Sisa Stok Barang'!$H$4,Table3[Tanggal Keluar],"&lt;="&amp;'Sisa Stok Barang'!$I$4)</f>
        <v>0</v>
      </c>
      <c r="G28" s="66">
        <f>Table4[[#This Row],[Stok Awal]]+Table4[[#This Row],[Jumlah Masuk]]-Table4[[#This Row],[Jumlah Keluar]]</f>
        <v>12</v>
      </c>
    </row>
    <row r="29" spans="1:7" x14ac:dyDescent="0.2">
      <c r="A29" s="65">
        <f t="shared" si="0"/>
        <v>23</v>
      </c>
      <c r="B29" s="58" t="s">
        <v>110</v>
      </c>
      <c r="C29" s="5" t="s">
        <v>1</v>
      </c>
      <c r="D29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175</v>
      </c>
      <c r="E29" s="3">
        <f>SUMIFS(Table2[Jumlah],Table2[Nama Barang],Table4[[#This Row],[Nama Barang]],Table2[Tanggal Masuk],"&gt;="&amp;'Sisa Stok Barang'!$H$4,Table2[Tanggal Masuk],"&lt;="&amp;'Sisa Stok Barang'!$I$4)</f>
        <v>0</v>
      </c>
      <c r="F29" s="3">
        <f>SUMIFS(Table3[Jumlah],Table3[Nama Barang],Table4[[#This Row],[Nama Barang]],Table3[Tanggal Keluar],"&gt;="&amp;'Sisa Stok Barang'!$H$4,Table3[Tanggal Keluar],"&lt;="&amp;'Sisa Stok Barang'!$I$4)</f>
        <v>0</v>
      </c>
      <c r="G29" s="66">
        <f>Table4[[#This Row],[Stok Awal]]+Table4[[#This Row],[Jumlah Masuk]]-Table4[[#This Row],[Jumlah Keluar]]</f>
        <v>175</v>
      </c>
    </row>
    <row r="30" spans="1:7" x14ac:dyDescent="0.2">
      <c r="A30" s="65">
        <f t="shared" si="0"/>
        <v>24</v>
      </c>
      <c r="B30" s="56" t="s">
        <v>20</v>
      </c>
      <c r="C30" s="5" t="s">
        <v>1</v>
      </c>
      <c r="D30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80</v>
      </c>
      <c r="E30" s="3">
        <f>SUMIFS(Table2[Jumlah],Table2[Nama Barang],Table4[[#This Row],[Nama Barang]],Table2[Tanggal Masuk],"&gt;="&amp;'Sisa Stok Barang'!$H$4,Table2[Tanggal Masuk],"&lt;="&amp;'Sisa Stok Barang'!$I$4)</f>
        <v>0</v>
      </c>
      <c r="F30" s="3">
        <f>SUMIFS(Table3[Jumlah],Table3[Nama Barang],Table4[[#This Row],[Nama Barang]],Table3[Tanggal Keluar],"&gt;="&amp;'Sisa Stok Barang'!$H$4,Table3[Tanggal Keluar],"&lt;="&amp;'Sisa Stok Barang'!$I$4)</f>
        <v>0</v>
      </c>
      <c r="G30" s="66">
        <f>Table4[[#This Row],[Stok Awal]]+Table4[[#This Row],[Jumlah Masuk]]-Table4[[#This Row],[Jumlah Keluar]]</f>
        <v>80</v>
      </c>
    </row>
    <row r="31" spans="1:7" x14ac:dyDescent="0.2">
      <c r="A31" s="65">
        <f t="shared" si="0"/>
        <v>25</v>
      </c>
      <c r="B31" s="58" t="s">
        <v>84</v>
      </c>
      <c r="C31" s="18" t="s">
        <v>1</v>
      </c>
      <c r="D31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2</v>
      </c>
      <c r="E31" s="3">
        <f>SUMIFS(Table2[Jumlah],Table2[Nama Barang],Table4[[#This Row],[Nama Barang]],Table2[Tanggal Masuk],"&gt;="&amp;'Sisa Stok Barang'!$H$4,Table2[Tanggal Masuk],"&lt;="&amp;'Sisa Stok Barang'!$I$4)</f>
        <v>0</v>
      </c>
      <c r="F31" s="3">
        <f>SUMIFS(Table3[Jumlah],Table3[Nama Barang],Table4[[#This Row],[Nama Barang]],Table3[Tanggal Keluar],"&gt;="&amp;'Sisa Stok Barang'!$H$4,Table3[Tanggal Keluar],"&lt;="&amp;'Sisa Stok Barang'!$I$4)</f>
        <v>0</v>
      </c>
      <c r="G31" s="66">
        <f>Table4[[#This Row],[Stok Awal]]+Table4[[#This Row],[Jumlah Masuk]]-Table4[[#This Row],[Jumlah Keluar]]</f>
        <v>2</v>
      </c>
    </row>
    <row r="32" spans="1:7" x14ac:dyDescent="0.2">
      <c r="A32" s="65">
        <f t="shared" si="0"/>
        <v>26</v>
      </c>
      <c r="B32" s="56" t="s">
        <v>177</v>
      </c>
      <c r="C32" s="5" t="s">
        <v>1</v>
      </c>
      <c r="D32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84</v>
      </c>
      <c r="E32" s="3">
        <f>SUMIFS(Table2[Jumlah],Table2[Nama Barang],Table4[[#This Row],[Nama Barang]],Table2[Tanggal Masuk],"&gt;="&amp;'Sisa Stok Barang'!$H$4,Table2[Tanggal Masuk],"&lt;="&amp;'Sisa Stok Barang'!$I$4)</f>
        <v>0</v>
      </c>
      <c r="F32" s="3">
        <f>SUMIFS(Table3[Jumlah],Table3[Nama Barang],Table4[[#This Row],[Nama Barang]],Table3[Tanggal Keluar],"&gt;="&amp;'Sisa Stok Barang'!$H$4,Table3[Tanggal Keluar],"&lt;="&amp;'Sisa Stok Barang'!$I$4)</f>
        <v>0</v>
      </c>
      <c r="G32" s="66">
        <f>Table4[[#This Row],[Stok Awal]]+Table4[[#This Row],[Jumlah Masuk]]-Table4[[#This Row],[Jumlah Keluar]]</f>
        <v>84</v>
      </c>
    </row>
    <row r="33" spans="1:7" x14ac:dyDescent="0.2">
      <c r="A33" s="65">
        <f t="shared" si="0"/>
        <v>27</v>
      </c>
      <c r="B33" s="58" t="s">
        <v>22</v>
      </c>
      <c r="C33" s="5" t="s">
        <v>1</v>
      </c>
      <c r="D33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24</v>
      </c>
      <c r="E33" s="3">
        <f>SUMIFS(Table2[Jumlah],Table2[Nama Barang],Table4[[#This Row],[Nama Barang]],Table2[Tanggal Masuk],"&gt;="&amp;'Sisa Stok Barang'!$H$4,Table2[Tanggal Masuk],"&lt;="&amp;'Sisa Stok Barang'!$I$4)</f>
        <v>0</v>
      </c>
      <c r="F33" s="3">
        <f>SUMIFS(Table3[Jumlah],Table3[Nama Barang],Table4[[#This Row],[Nama Barang]],Table3[Tanggal Keluar],"&gt;="&amp;'Sisa Stok Barang'!$H$4,Table3[Tanggal Keluar],"&lt;="&amp;'Sisa Stok Barang'!$I$4)</f>
        <v>0</v>
      </c>
      <c r="G33" s="66">
        <f>Table4[[#This Row],[Stok Awal]]+Table4[[#This Row],[Jumlah Masuk]]-Table4[[#This Row],[Jumlah Keluar]]</f>
        <v>24</v>
      </c>
    </row>
    <row r="34" spans="1:7" x14ac:dyDescent="0.2">
      <c r="A34" s="65">
        <f t="shared" si="0"/>
        <v>28</v>
      </c>
      <c r="B34" s="56" t="s">
        <v>23</v>
      </c>
      <c r="C34" s="5" t="s">
        <v>1</v>
      </c>
      <c r="D34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48</v>
      </c>
      <c r="E34" s="3">
        <f>SUMIFS(Table2[Jumlah],Table2[Nama Barang],Table4[[#This Row],[Nama Barang]],Table2[Tanggal Masuk],"&gt;="&amp;'Sisa Stok Barang'!$H$4,Table2[Tanggal Masuk],"&lt;="&amp;'Sisa Stok Barang'!$I$4)</f>
        <v>0</v>
      </c>
      <c r="F34" s="3">
        <f>SUMIFS(Table3[Jumlah],Table3[Nama Barang],Table4[[#This Row],[Nama Barang]],Table3[Tanggal Keluar],"&gt;="&amp;'Sisa Stok Barang'!$H$4,Table3[Tanggal Keluar],"&lt;="&amp;'Sisa Stok Barang'!$I$4)</f>
        <v>0</v>
      </c>
      <c r="G34" s="66">
        <f>Table4[[#This Row],[Stok Awal]]+Table4[[#This Row],[Jumlah Masuk]]-Table4[[#This Row],[Jumlah Keluar]]</f>
        <v>48</v>
      </c>
    </row>
    <row r="35" spans="1:7" x14ac:dyDescent="0.2">
      <c r="A35" s="65">
        <f t="shared" si="0"/>
        <v>29</v>
      </c>
      <c r="B35" s="58" t="s">
        <v>104</v>
      </c>
      <c r="C35" s="5" t="s">
        <v>1</v>
      </c>
      <c r="D35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155</v>
      </c>
      <c r="E35" s="3">
        <f>SUMIFS(Table2[Jumlah],Table2[Nama Barang],Table4[[#This Row],[Nama Barang]],Table2[Tanggal Masuk],"&gt;="&amp;'Sisa Stok Barang'!$H$4,Table2[Tanggal Masuk],"&lt;="&amp;'Sisa Stok Barang'!$I$4)</f>
        <v>0</v>
      </c>
      <c r="F35" s="3">
        <f>SUMIFS(Table3[Jumlah],Table3[Nama Barang],Table4[[#This Row],[Nama Barang]],Table3[Tanggal Keluar],"&gt;="&amp;'Sisa Stok Barang'!$H$4,Table3[Tanggal Keluar],"&lt;="&amp;'Sisa Stok Barang'!$I$4)</f>
        <v>0</v>
      </c>
      <c r="G35" s="66">
        <f>Table4[[#This Row],[Stok Awal]]+Table4[[#This Row],[Jumlah Masuk]]-Table4[[#This Row],[Jumlah Keluar]]</f>
        <v>155</v>
      </c>
    </row>
    <row r="36" spans="1:7" x14ac:dyDescent="0.2">
      <c r="A36" s="65">
        <f t="shared" si="0"/>
        <v>30</v>
      </c>
      <c r="B36" s="56" t="s">
        <v>24</v>
      </c>
      <c r="C36" s="5" t="s">
        <v>1</v>
      </c>
      <c r="D36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13</v>
      </c>
      <c r="E36" s="3">
        <f>SUMIFS(Table2[Jumlah],Table2[Nama Barang],Table4[[#This Row],[Nama Barang]],Table2[Tanggal Masuk],"&gt;="&amp;'Sisa Stok Barang'!$H$4,Table2[Tanggal Masuk],"&lt;="&amp;'Sisa Stok Barang'!$I$4)</f>
        <v>0</v>
      </c>
      <c r="F36" s="3">
        <f>SUMIFS(Table3[Jumlah],Table3[Nama Barang],Table4[[#This Row],[Nama Barang]],Table3[Tanggal Keluar],"&gt;="&amp;'Sisa Stok Barang'!$H$4,Table3[Tanggal Keluar],"&lt;="&amp;'Sisa Stok Barang'!$I$4)</f>
        <v>0</v>
      </c>
      <c r="G36" s="66">
        <f>Table4[[#This Row],[Stok Awal]]+Table4[[#This Row],[Jumlah Masuk]]-Table4[[#This Row],[Jumlah Keluar]]</f>
        <v>13</v>
      </c>
    </row>
    <row r="37" spans="1:7" x14ac:dyDescent="0.2">
      <c r="A37" s="65">
        <f t="shared" si="0"/>
        <v>31</v>
      </c>
      <c r="B37" s="58" t="s">
        <v>26</v>
      </c>
      <c r="C37" s="5" t="s">
        <v>1</v>
      </c>
      <c r="D37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137</v>
      </c>
      <c r="E37" s="3">
        <f>SUMIFS(Table2[Jumlah],Table2[Nama Barang],Table4[[#This Row],[Nama Barang]],Table2[Tanggal Masuk],"&gt;="&amp;'Sisa Stok Barang'!$H$4,Table2[Tanggal Masuk],"&lt;="&amp;'Sisa Stok Barang'!$I$4)</f>
        <v>0</v>
      </c>
      <c r="F37" s="3">
        <f>SUMIFS(Table3[Jumlah],Table3[Nama Barang],Table4[[#This Row],[Nama Barang]],Table3[Tanggal Keluar],"&gt;="&amp;'Sisa Stok Barang'!$H$4,Table3[Tanggal Keluar],"&lt;="&amp;'Sisa Stok Barang'!$I$4)</f>
        <v>0</v>
      </c>
      <c r="G37" s="66">
        <f>Table4[[#This Row],[Stok Awal]]+Table4[[#This Row],[Jumlah Masuk]]-Table4[[#This Row],[Jumlah Keluar]]</f>
        <v>137</v>
      </c>
    </row>
    <row r="38" spans="1:7" x14ac:dyDescent="0.2">
      <c r="A38" s="65">
        <f t="shared" si="0"/>
        <v>32</v>
      </c>
      <c r="B38" s="56" t="s">
        <v>27</v>
      </c>
      <c r="C38" s="5" t="s">
        <v>1</v>
      </c>
      <c r="D38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30</v>
      </c>
      <c r="E38" s="3">
        <f>SUMIFS(Table2[Jumlah],Table2[Nama Barang],Table4[[#This Row],[Nama Barang]],Table2[Tanggal Masuk],"&gt;="&amp;'Sisa Stok Barang'!$H$4,Table2[Tanggal Masuk],"&lt;="&amp;'Sisa Stok Barang'!$I$4)</f>
        <v>0</v>
      </c>
      <c r="F38" s="3">
        <f>SUMIFS(Table3[Jumlah],Table3[Nama Barang],Table4[[#This Row],[Nama Barang]],Table3[Tanggal Keluar],"&gt;="&amp;'Sisa Stok Barang'!$H$4,Table3[Tanggal Keluar],"&lt;="&amp;'Sisa Stok Barang'!$I$4)</f>
        <v>0</v>
      </c>
      <c r="G38" s="66">
        <f>Table4[[#This Row],[Stok Awal]]+Table4[[#This Row],[Jumlah Masuk]]-Table4[[#This Row],[Jumlah Keluar]]</f>
        <v>30</v>
      </c>
    </row>
    <row r="39" spans="1:7" x14ac:dyDescent="0.2">
      <c r="A39" s="65">
        <f t="shared" si="0"/>
        <v>33</v>
      </c>
      <c r="B39" s="58" t="s">
        <v>28</v>
      </c>
      <c r="C39" s="5" t="s">
        <v>0</v>
      </c>
      <c r="D39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41</v>
      </c>
      <c r="E39" s="3">
        <f>SUMIFS(Table2[Jumlah],Table2[Nama Barang],Table4[[#This Row],[Nama Barang]],Table2[Tanggal Masuk],"&gt;="&amp;'Sisa Stok Barang'!$H$4,Table2[Tanggal Masuk],"&lt;="&amp;'Sisa Stok Barang'!$I$4)</f>
        <v>0</v>
      </c>
      <c r="F39" s="3">
        <f>SUMIFS(Table3[Jumlah],Table3[Nama Barang],Table4[[#This Row],[Nama Barang]],Table3[Tanggal Keluar],"&gt;="&amp;'Sisa Stok Barang'!$H$4,Table3[Tanggal Keluar],"&lt;="&amp;'Sisa Stok Barang'!$I$4)</f>
        <v>0</v>
      </c>
      <c r="G39" s="66">
        <f>Table4[[#This Row],[Stok Awal]]+Table4[[#This Row],[Jumlah Masuk]]-Table4[[#This Row],[Jumlah Keluar]]</f>
        <v>41</v>
      </c>
    </row>
    <row r="40" spans="1:7" x14ac:dyDescent="0.2">
      <c r="A40" s="65">
        <f t="shared" si="0"/>
        <v>34</v>
      </c>
      <c r="B40" s="56" t="s">
        <v>29</v>
      </c>
      <c r="C40" s="5" t="s">
        <v>0</v>
      </c>
      <c r="D40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11</v>
      </c>
      <c r="E40" s="3">
        <f>SUMIFS(Table2[Jumlah],Table2[Nama Barang],Table4[[#This Row],[Nama Barang]],Table2[Tanggal Masuk],"&gt;="&amp;'Sisa Stok Barang'!$H$4,Table2[Tanggal Masuk],"&lt;="&amp;'Sisa Stok Barang'!$I$4)</f>
        <v>0</v>
      </c>
      <c r="F40" s="3">
        <f>SUMIFS(Table3[Jumlah],Table3[Nama Barang],Table4[[#This Row],[Nama Barang]],Table3[Tanggal Keluar],"&gt;="&amp;'Sisa Stok Barang'!$H$4,Table3[Tanggal Keluar],"&lt;="&amp;'Sisa Stok Barang'!$I$4)</f>
        <v>0</v>
      </c>
      <c r="G40" s="66">
        <f>Table4[[#This Row],[Stok Awal]]+Table4[[#This Row],[Jumlah Masuk]]-Table4[[#This Row],[Jumlah Keluar]]</f>
        <v>11</v>
      </c>
    </row>
    <row r="41" spans="1:7" x14ac:dyDescent="0.2">
      <c r="A41" s="65">
        <f t="shared" si="0"/>
        <v>35</v>
      </c>
      <c r="B41" s="58" t="s">
        <v>30</v>
      </c>
      <c r="C41" s="5" t="s">
        <v>0</v>
      </c>
      <c r="D41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3</v>
      </c>
      <c r="E41" s="3">
        <f>SUMIFS(Table2[Jumlah],Table2[Nama Barang],Table4[[#This Row],[Nama Barang]],Table2[Tanggal Masuk],"&gt;="&amp;'Sisa Stok Barang'!$H$4,Table2[Tanggal Masuk],"&lt;="&amp;'Sisa Stok Barang'!$I$4)</f>
        <v>0</v>
      </c>
      <c r="F41" s="3">
        <f>SUMIFS(Table3[Jumlah],Table3[Nama Barang],Table4[[#This Row],[Nama Barang]],Table3[Tanggal Keluar],"&gt;="&amp;'Sisa Stok Barang'!$H$4,Table3[Tanggal Keluar],"&lt;="&amp;'Sisa Stok Barang'!$I$4)</f>
        <v>0</v>
      </c>
      <c r="G41" s="66">
        <f>Table4[[#This Row],[Stok Awal]]+Table4[[#This Row],[Jumlah Masuk]]-Table4[[#This Row],[Jumlah Keluar]]</f>
        <v>3</v>
      </c>
    </row>
    <row r="42" spans="1:7" x14ac:dyDescent="0.2">
      <c r="A42" s="65">
        <f t="shared" si="0"/>
        <v>36</v>
      </c>
      <c r="B42" s="56" t="s">
        <v>178</v>
      </c>
      <c r="C42" s="5" t="s">
        <v>1</v>
      </c>
      <c r="D42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7</v>
      </c>
      <c r="E42" s="3">
        <f>SUMIFS(Table2[Jumlah],Table2[Nama Barang],Table4[[#This Row],[Nama Barang]],Table2[Tanggal Masuk],"&gt;="&amp;'Sisa Stok Barang'!$H$4,Table2[Tanggal Masuk],"&lt;="&amp;'Sisa Stok Barang'!$I$4)</f>
        <v>0</v>
      </c>
      <c r="F42" s="3">
        <f>SUMIFS(Table3[Jumlah],Table3[Nama Barang],Table4[[#This Row],[Nama Barang]],Table3[Tanggal Keluar],"&gt;="&amp;'Sisa Stok Barang'!$H$4,Table3[Tanggal Keluar],"&lt;="&amp;'Sisa Stok Barang'!$I$4)</f>
        <v>0</v>
      </c>
      <c r="G42" s="66">
        <f>Table4[[#This Row],[Stok Awal]]+Table4[[#This Row],[Jumlah Masuk]]-Table4[[#This Row],[Jumlah Keluar]]</f>
        <v>7</v>
      </c>
    </row>
    <row r="43" spans="1:7" x14ac:dyDescent="0.2">
      <c r="A43" s="65">
        <f t="shared" si="0"/>
        <v>37</v>
      </c>
      <c r="B43" s="58" t="s">
        <v>73</v>
      </c>
      <c r="C43" s="5" t="s">
        <v>1</v>
      </c>
      <c r="D43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72</v>
      </c>
      <c r="E43" s="3">
        <f>SUMIFS(Table2[Jumlah],Table2[Nama Barang],Table4[[#This Row],[Nama Barang]],Table2[Tanggal Masuk],"&gt;="&amp;'Sisa Stok Barang'!$H$4,Table2[Tanggal Masuk],"&lt;="&amp;'Sisa Stok Barang'!$I$4)</f>
        <v>0</v>
      </c>
      <c r="F43" s="3">
        <f>SUMIFS(Table3[Jumlah],Table3[Nama Barang],Table4[[#This Row],[Nama Barang]],Table3[Tanggal Keluar],"&gt;="&amp;'Sisa Stok Barang'!$H$4,Table3[Tanggal Keluar],"&lt;="&amp;'Sisa Stok Barang'!$I$4)</f>
        <v>0</v>
      </c>
      <c r="G43" s="66">
        <f>Table4[[#This Row],[Stok Awal]]+Table4[[#This Row],[Jumlah Masuk]]-Table4[[#This Row],[Jumlah Keluar]]</f>
        <v>72</v>
      </c>
    </row>
    <row r="44" spans="1:7" x14ac:dyDescent="0.2">
      <c r="A44" s="65">
        <f t="shared" si="0"/>
        <v>38</v>
      </c>
      <c r="B44" s="56" t="s">
        <v>32</v>
      </c>
      <c r="C44" s="5" t="s">
        <v>1</v>
      </c>
      <c r="D44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12</v>
      </c>
      <c r="E44" s="3">
        <f>SUMIFS(Table2[Jumlah],Table2[Nama Barang],Table4[[#This Row],[Nama Barang]],Table2[Tanggal Masuk],"&gt;="&amp;'Sisa Stok Barang'!$H$4,Table2[Tanggal Masuk],"&lt;="&amp;'Sisa Stok Barang'!$I$4)</f>
        <v>0</v>
      </c>
      <c r="F44" s="3">
        <f>SUMIFS(Table3[Jumlah],Table3[Nama Barang],Table4[[#This Row],[Nama Barang]],Table3[Tanggal Keluar],"&gt;="&amp;'Sisa Stok Barang'!$H$4,Table3[Tanggal Keluar],"&lt;="&amp;'Sisa Stok Barang'!$I$4)</f>
        <v>0</v>
      </c>
      <c r="G44" s="66">
        <f>Table4[[#This Row],[Stok Awal]]+Table4[[#This Row],[Jumlah Masuk]]-Table4[[#This Row],[Jumlah Keluar]]</f>
        <v>12</v>
      </c>
    </row>
    <row r="45" spans="1:7" x14ac:dyDescent="0.2">
      <c r="A45" s="65">
        <f t="shared" si="0"/>
        <v>39</v>
      </c>
      <c r="B45" s="58" t="s">
        <v>33</v>
      </c>
      <c r="C45" s="5" t="s">
        <v>1</v>
      </c>
      <c r="D45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4</v>
      </c>
      <c r="E45" s="3">
        <f>SUMIFS(Table2[Jumlah],Table2[Nama Barang],Table4[[#This Row],[Nama Barang]],Table2[Tanggal Masuk],"&gt;="&amp;'Sisa Stok Barang'!$H$4,Table2[Tanggal Masuk],"&lt;="&amp;'Sisa Stok Barang'!$I$4)</f>
        <v>0</v>
      </c>
      <c r="F45" s="3">
        <f>SUMIFS(Table3[Jumlah],Table3[Nama Barang],Table4[[#This Row],[Nama Barang]],Table3[Tanggal Keluar],"&gt;="&amp;'Sisa Stok Barang'!$H$4,Table3[Tanggal Keluar],"&lt;="&amp;'Sisa Stok Barang'!$I$4)</f>
        <v>0</v>
      </c>
      <c r="G45" s="66">
        <f>Table4[[#This Row],[Stok Awal]]+Table4[[#This Row],[Jumlah Masuk]]-Table4[[#This Row],[Jumlah Keluar]]</f>
        <v>4</v>
      </c>
    </row>
    <row r="46" spans="1:7" x14ac:dyDescent="0.2">
      <c r="A46" s="65">
        <f t="shared" si="0"/>
        <v>40</v>
      </c>
      <c r="B46" s="56" t="s">
        <v>34</v>
      </c>
      <c r="C46" s="5" t="s">
        <v>1</v>
      </c>
      <c r="D46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6</v>
      </c>
      <c r="E46" s="3">
        <f>SUMIFS(Table2[Jumlah],Table2[Nama Barang],Table4[[#This Row],[Nama Barang]],Table2[Tanggal Masuk],"&gt;="&amp;'Sisa Stok Barang'!$H$4,Table2[Tanggal Masuk],"&lt;="&amp;'Sisa Stok Barang'!$I$4)</f>
        <v>0</v>
      </c>
      <c r="F46" s="3">
        <f>SUMIFS(Table3[Jumlah],Table3[Nama Barang],Table4[[#This Row],[Nama Barang]],Table3[Tanggal Keluar],"&gt;="&amp;'Sisa Stok Barang'!$H$4,Table3[Tanggal Keluar],"&lt;="&amp;'Sisa Stok Barang'!$I$4)</f>
        <v>0</v>
      </c>
      <c r="G46" s="66">
        <f>Table4[[#This Row],[Stok Awal]]+Table4[[#This Row],[Jumlah Masuk]]-Table4[[#This Row],[Jumlah Keluar]]</f>
        <v>6</v>
      </c>
    </row>
    <row r="47" spans="1:7" x14ac:dyDescent="0.2">
      <c r="A47" s="65">
        <f t="shared" si="0"/>
        <v>41</v>
      </c>
      <c r="B47" s="58" t="s">
        <v>85</v>
      </c>
      <c r="C47" s="18" t="s">
        <v>1</v>
      </c>
      <c r="D47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11</v>
      </c>
      <c r="E47" s="3">
        <f>SUMIFS(Table2[Jumlah],Table2[Nama Barang],Table4[[#This Row],[Nama Barang]],Table2[Tanggal Masuk],"&gt;="&amp;'Sisa Stok Barang'!$H$4,Table2[Tanggal Masuk],"&lt;="&amp;'Sisa Stok Barang'!$I$4)</f>
        <v>0</v>
      </c>
      <c r="F47" s="3">
        <f>SUMIFS(Table3[Jumlah],Table3[Nama Barang],Table4[[#This Row],[Nama Barang]],Table3[Tanggal Keluar],"&gt;="&amp;'Sisa Stok Barang'!$H$4,Table3[Tanggal Keluar],"&lt;="&amp;'Sisa Stok Barang'!$I$4)</f>
        <v>0</v>
      </c>
      <c r="G47" s="66">
        <f>Table4[[#This Row],[Stok Awal]]+Table4[[#This Row],[Jumlah Masuk]]-Table4[[#This Row],[Jumlah Keluar]]</f>
        <v>11</v>
      </c>
    </row>
    <row r="48" spans="1:7" x14ac:dyDescent="0.2">
      <c r="A48" s="65">
        <f t="shared" si="0"/>
        <v>42</v>
      </c>
      <c r="B48" s="56" t="s">
        <v>89</v>
      </c>
      <c r="C48" s="18" t="s">
        <v>1</v>
      </c>
      <c r="D48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1</v>
      </c>
      <c r="E48" s="3">
        <f>SUMIFS(Table2[Jumlah],Table2[Nama Barang],Table4[[#This Row],[Nama Barang]],Table2[Tanggal Masuk],"&gt;="&amp;'Sisa Stok Barang'!$H$4,Table2[Tanggal Masuk],"&lt;="&amp;'Sisa Stok Barang'!$I$4)</f>
        <v>0</v>
      </c>
      <c r="F48" s="3">
        <f>SUMIFS(Table3[Jumlah],Table3[Nama Barang],Table4[[#This Row],[Nama Barang]],Table3[Tanggal Keluar],"&gt;="&amp;'Sisa Stok Barang'!$H$4,Table3[Tanggal Keluar],"&lt;="&amp;'Sisa Stok Barang'!$I$4)</f>
        <v>0</v>
      </c>
      <c r="G48" s="66">
        <f>Table4[[#This Row],[Stok Awal]]+Table4[[#This Row],[Jumlah Masuk]]-Table4[[#This Row],[Jumlah Keluar]]</f>
        <v>1</v>
      </c>
    </row>
    <row r="49" spans="1:7" x14ac:dyDescent="0.2">
      <c r="A49" s="65">
        <f t="shared" si="0"/>
        <v>43</v>
      </c>
      <c r="B49" s="58" t="s">
        <v>108</v>
      </c>
      <c r="C49" s="18" t="s">
        <v>1</v>
      </c>
      <c r="D49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1</v>
      </c>
      <c r="E49" s="3">
        <f>SUMIFS(Table2[Jumlah],Table2[Nama Barang],Table4[[#This Row],[Nama Barang]],Table2[Tanggal Masuk],"&gt;="&amp;'Sisa Stok Barang'!$H$4,Table2[Tanggal Masuk],"&lt;="&amp;'Sisa Stok Barang'!$I$4)</f>
        <v>0</v>
      </c>
      <c r="F49" s="3">
        <f>SUMIFS(Table3[Jumlah],Table3[Nama Barang],Table4[[#This Row],[Nama Barang]],Table3[Tanggal Keluar],"&gt;="&amp;'Sisa Stok Barang'!$H$4,Table3[Tanggal Keluar],"&lt;="&amp;'Sisa Stok Barang'!$I$4)</f>
        <v>0</v>
      </c>
      <c r="G49" s="66">
        <f>Table4[[#This Row],[Stok Awal]]+Table4[[#This Row],[Jumlah Masuk]]-Table4[[#This Row],[Jumlah Keluar]]</f>
        <v>1</v>
      </c>
    </row>
    <row r="50" spans="1:7" x14ac:dyDescent="0.2">
      <c r="A50" s="65">
        <f t="shared" si="0"/>
        <v>44</v>
      </c>
      <c r="B50" s="56" t="s">
        <v>86</v>
      </c>
      <c r="C50" s="18" t="s">
        <v>1</v>
      </c>
      <c r="D50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20</v>
      </c>
      <c r="E50" s="3">
        <f>SUMIFS(Table2[Jumlah],Table2[Nama Barang],Table4[[#This Row],[Nama Barang]],Table2[Tanggal Masuk],"&gt;="&amp;'Sisa Stok Barang'!$H$4,Table2[Tanggal Masuk],"&lt;="&amp;'Sisa Stok Barang'!$I$4)</f>
        <v>0</v>
      </c>
      <c r="F50" s="3">
        <f>SUMIFS(Table3[Jumlah],Table3[Nama Barang],Table4[[#This Row],[Nama Barang]],Table3[Tanggal Keluar],"&gt;="&amp;'Sisa Stok Barang'!$H$4,Table3[Tanggal Keluar],"&lt;="&amp;'Sisa Stok Barang'!$I$4)</f>
        <v>0</v>
      </c>
      <c r="G50" s="66">
        <f>Table4[[#This Row],[Stok Awal]]+Table4[[#This Row],[Jumlah Masuk]]-Table4[[#This Row],[Jumlah Keluar]]</f>
        <v>20</v>
      </c>
    </row>
    <row r="51" spans="1:7" x14ac:dyDescent="0.2">
      <c r="A51" s="65">
        <f t="shared" si="0"/>
        <v>45</v>
      </c>
      <c r="B51" s="58" t="s">
        <v>83</v>
      </c>
      <c r="C51" s="18" t="s">
        <v>1</v>
      </c>
      <c r="D51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1</v>
      </c>
      <c r="E51" s="3">
        <f>SUMIFS(Table2[Jumlah],Table2[Nama Barang],Table4[[#This Row],[Nama Barang]],Table2[Tanggal Masuk],"&gt;="&amp;'Sisa Stok Barang'!$H$4,Table2[Tanggal Masuk],"&lt;="&amp;'Sisa Stok Barang'!$I$4)</f>
        <v>0</v>
      </c>
      <c r="F51" s="3">
        <f>SUMIFS(Table3[Jumlah],Table3[Nama Barang],Table4[[#This Row],[Nama Barang]],Table3[Tanggal Keluar],"&gt;="&amp;'Sisa Stok Barang'!$H$4,Table3[Tanggal Keluar],"&lt;="&amp;'Sisa Stok Barang'!$I$4)</f>
        <v>0</v>
      </c>
      <c r="G51" s="66">
        <f>Table4[[#This Row],[Stok Awal]]+Table4[[#This Row],[Jumlah Masuk]]-Table4[[#This Row],[Jumlah Keluar]]</f>
        <v>1</v>
      </c>
    </row>
    <row r="52" spans="1:7" x14ac:dyDescent="0.2">
      <c r="A52" s="65">
        <f t="shared" si="0"/>
        <v>46</v>
      </c>
      <c r="B52" s="56" t="s">
        <v>111</v>
      </c>
      <c r="C52" s="5" t="s">
        <v>1</v>
      </c>
      <c r="D52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0</v>
      </c>
      <c r="E52" s="3">
        <f>SUMIFS(Table2[Jumlah],Table2[Nama Barang],Table4[[#This Row],[Nama Barang]],Table2[Tanggal Masuk],"&gt;="&amp;'Sisa Stok Barang'!$H$4,Table2[Tanggal Masuk],"&lt;="&amp;'Sisa Stok Barang'!$I$4)</f>
        <v>0</v>
      </c>
      <c r="F52" s="3">
        <f>SUMIFS(Table3[Jumlah],Table3[Nama Barang],Table4[[#This Row],[Nama Barang]],Table3[Tanggal Keluar],"&gt;="&amp;'Sisa Stok Barang'!$H$4,Table3[Tanggal Keluar],"&lt;="&amp;'Sisa Stok Barang'!$I$4)</f>
        <v>0</v>
      </c>
      <c r="G52" s="66">
        <f>Table4[[#This Row],[Stok Awal]]+Table4[[#This Row],[Jumlah Masuk]]-Table4[[#This Row],[Jumlah Keluar]]</f>
        <v>0</v>
      </c>
    </row>
    <row r="53" spans="1:7" x14ac:dyDescent="0.2">
      <c r="A53" s="65">
        <f t="shared" si="0"/>
        <v>47</v>
      </c>
      <c r="B53" s="58" t="s">
        <v>112</v>
      </c>
      <c r="C53" s="5" t="s">
        <v>1</v>
      </c>
      <c r="D53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9</v>
      </c>
      <c r="E53" s="3">
        <f>SUMIFS(Table2[Jumlah],Table2[Nama Barang],Table4[[#This Row],[Nama Barang]],Table2[Tanggal Masuk],"&gt;="&amp;'Sisa Stok Barang'!$H$4,Table2[Tanggal Masuk],"&lt;="&amp;'Sisa Stok Barang'!$I$4)</f>
        <v>0</v>
      </c>
      <c r="F53" s="3">
        <f>SUMIFS(Table3[Jumlah],Table3[Nama Barang],Table4[[#This Row],[Nama Barang]],Table3[Tanggal Keluar],"&gt;="&amp;'Sisa Stok Barang'!$H$4,Table3[Tanggal Keluar],"&lt;="&amp;'Sisa Stok Barang'!$I$4)</f>
        <v>0</v>
      </c>
      <c r="G53" s="66">
        <f>Table4[[#This Row],[Stok Awal]]+Table4[[#This Row],[Jumlah Masuk]]-Table4[[#This Row],[Jumlah Keluar]]</f>
        <v>9</v>
      </c>
    </row>
    <row r="54" spans="1:7" x14ac:dyDescent="0.2">
      <c r="A54" s="65">
        <f t="shared" si="0"/>
        <v>48</v>
      </c>
      <c r="B54" s="56" t="s">
        <v>113</v>
      </c>
      <c r="C54" s="5" t="s">
        <v>1</v>
      </c>
      <c r="D54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3</v>
      </c>
      <c r="E54" s="3">
        <f>SUMIFS(Table2[Jumlah],Table2[Nama Barang],Table4[[#This Row],[Nama Barang]],Table2[Tanggal Masuk],"&gt;="&amp;'Sisa Stok Barang'!$H$4,Table2[Tanggal Masuk],"&lt;="&amp;'Sisa Stok Barang'!$I$4)</f>
        <v>0</v>
      </c>
      <c r="F54" s="3">
        <f>SUMIFS(Table3[Jumlah],Table3[Nama Barang],Table4[[#This Row],[Nama Barang]],Table3[Tanggal Keluar],"&gt;="&amp;'Sisa Stok Barang'!$H$4,Table3[Tanggal Keluar],"&lt;="&amp;'Sisa Stok Barang'!$I$4)</f>
        <v>0</v>
      </c>
      <c r="G54" s="66">
        <f>Table4[[#This Row],[Stok Awal]]+Table4[[#This Row],[Jumlah Masuk]]-Table4[[#This Row],[Jumlah Keluar]]</f>
        <v>3</v>
      </c>
    </row>
    <row r="55" spans="1:7" x14ac:dyDescent="0.2">
      <c r="A55" s="65">
        <f t="shared" si="0"/>
        <v>49</v>
      </c>
      <c r="B55" s="58" t="s">
        <v>35</v>
      </c>
      <c r="C55" s="5" t="s">
        <v>1</v>
      </c>
      <c r="D55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3</v>
      </c>
      <c r="E55" s="3">
        <f>SUMIFS(Table2[Jumlah],Table2[Nama Barang],Table4[[#This Row],[Nama Barang]],Table2[Tanggal Masuk],"&gt;="&amp;'Sisa Stok Barang'!$H$4,Table2[Tanggal Masuk],"&lt;="&amp;'Sisa Stok Barang'!$I$4)</f>
        <v>0</v>
      </c>
      <c r="F55" s="3">
        <f>SUMIFS(Table3[Jumlah],Table3[Nama Barang],Table4[[#This Row],[Nama Barang]],Table3[Tanggal Keluar],"&gt;="&amp;'Sisa Stok Barang'!$H$4,Table3[Tanggal Keluar],"&lt;="&amp;'Sisa Stok Barang'!$I$4)</f>
        <v>0</v>
      </c>
      <c r="G55" s="66">
        <f>Table4[[#This Row],[Stok Awal]]+Table4[[#This Row],[Jumlah Masuk]]-Table4[[#This Row],[Jumlah Keluar]]</f>
        <v>3</v>
      </c>
    </row>
    <row r="56" spans="1:7" x14ac:dyDescent="0.2">
      <c r="A56" s="65">
        <f t="shared" si="0"/>
        <v>50</v>
      </c>
      <c r="B56" s="56" t="s">
        <v>70</v>
      </c>
      <c r="C56" s="5" t="s">
        <v>1</v>
      </c>
      <c r="D56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2</v>
      </c>
      <c r="E56" s="3">
        <f>SUMIFS(Table2[Jumlah],Table2[Nama Barang],Table4[[#This Row],[Nama Barang]],Table2[Tanggal Masuk],"&gt;="&amp;'Sisa Stok Barang'!$H$4,Table2[Tanggal Masuk],"&lt;="&amp;'Sisa Stok Barang'!$I$4)</f>
        <v>0</v>
      </c>
      <c r="F56" s="3">
        <f>SUMIFS(Table3[Jumlah],Table3[Nama Barang],Table4[[#This Row],[Nama Barang]],Table3[Tanggal Keluar],"&gt;="&amp;'Sisa Stok Barang'!$H$4,Table3[Tanggal Keluar],"&lt;="&amp;'Sisa Stok Barang'!$I$4)</f>
        <v>0</v>
      </c>
      <c r="G56" s="66">
        <f>Table4[[#This Row],[Stok Awal]]+Table4[[#This Row],[Jumlah Masuk]]-Table4[[#This Row],[Jumlah Keluar]]</f>
        <v>2</v>
      </c>
    </row>
    <row r="57" spans="1:7" x14ac:dyDescent="0.2">
      <c r="A57" s="65">
        <f t="shared" si="0"/>
        <v>51</v>
      </c>
      <c r="B57" s="58" t="s">
        <v>71</v>
      </c>
      <c r="C57" s="5" t="s">
        <v>1</v>
      </c>
      <c r="D57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5</v>
      </c>
      <c r="E57" s="3">
        <f>SUMIFS(Table2[Jumlah],Table2[Nama Barang],Table4[[#This Row],[Nama Barang]],Table2[Tanggal Masuk],"&gt;="&amp;'Sisa Stok Barang'!$H$4,Table2[Tanggal Masuk],"&lt;="&amp;'Sisa Stok Barang'!$I$4)</f>
        <v>0</v>
      </c>
      <c r="F57" s="3">
        <f>SUMIFS(Table3[Jumlah],Table3[Nama Barang],Table4[[#This Row],[Nama Barang]],Table3[Tanggal Keluar],"&gt;="&amp;'Sisa Stok Barang'!$H$4,Table3[Tanggal Keluar],"&lt;="&amp;'Sisa Stok Barang'!$I$4)</f>
        <v>0</v>
      </c>
      <c r="G57" s="66">
        <f>Table4[[#This Row],[Stok Awal]]+Table4[[#This Row],[Jumlah Masuk]]-Table4[[#This Row],[Jumlah Keluar]]</f>
        <v>5</v>
      </c>
    </row>
    <row r="58" spans="1:7" x14ac:dyDescent="0.2">
      <c r="A58" s="65">
        <f t="shared" si="0"/>
        <v>52</v>
      </c>
      <c r="B58" s="56" t="s">
        <v>72</v>
      </c>
      <c r="C58" s="5" t="s">
        <v>1</v>
      </c>
      <c r="D58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3</v>
      </c>
      <c r="E58" s="3">
        <f>SUMIFS(Table2[Jumlah],Table2[Nama Barang],Table4[[#This Row],[Nama Barang]],Table2[Tanggal Masuk],"&gt;="&amp;'Sisa Stok Barang'!$H$4,Table2[Tanggal Masuk],"&lt;="&amp;'Sisa Stok Barang'!$I$4)</f>
        <v>0</v>
      </c>
      <c r="F58" s="3">
        <f>SUMIFS(Table3[Jumlah],Table3[Nama Barang],Table4[[#This Row],[Nama Barang]],Table3[Tanggal Keluar],"&gt;="&amp;'Sisa Stok Barang'!$H$4,Table3[Tanggal Keluar],"&lt;="&amp;'Sisa Stok Barang'!$I$4)</f>
        <v>0</v>
      </c>
      <c r="G58" s="66">
        <f>Table4[[#This Row],[Stok Awal]]+Table4[[#This Row],[Jumlah Masuk]]-Table4[[#This Row],[Jumlah Keluar]]</f>
        <v>3</v>
      </c>
    </row>
    <row r="59" spans="1:7" x14ac:dyDescent="0.2">
      <c r="A59" s="65">
        <f t="shared" si="0"/>
        <v>53</v>
      </c>
      <c r="B59" s="58" t="s">
        <v>38</v>
      </c>
      <c r="C59" s="5" t="s">
        <v>1</v>
      </c>
      <c r="D59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0</v>
      </c>
      <c r="E59" s="3">
        <f>SUMIFS(Table2[Jumlah],Table2[Nama Barang],Table4[[#This Row],[Nama Barang]],Table2[Tanggal Masuk],"&gt;="&amp;'Sisa Stok Barang'!$H$4,Table2[Tanggal Masuk],"&lt;="&amp;'Sisa Stok Barang'!$I$4)</f>
        <v>0</v>
      </c>
      <c r="F59" s="3">
        <f>SUMIFS(Table3[Jumlah],Table3[Nama Barang],Table4[[#This Row],[Nama Barang]],Table3[Tanggal Keluar],"&gt;="&amp;'Sisa Stok Barang'!$H$4,Table3[Tanggal Keluar],"&lt;="&amp;'Sisa Stok Barang'!$I$4)</f>
        <v>0</v>
      </c>
      <c r="G59" s="66">
        <f>Table4[[#This Row],[Stok Awal]]+Table4[[#This Row],[Jumlah Masuk]]-Table4[[#This Row],[Jumlah Keluar]]</f>
        <v>0</v>
      </c>
    </row>
    <row r="60" spans="1:7" x14ac:dyDescent="0.2">
      <c r="A60" s="65">
        <f t="shared" si="0"/>
        <v>54</v>
      </c>
      <c r="B60" s="56" t="s">
        <v>40</v>
      </c>
      <c r="C60" s="5" t="s">
        <v>1</v>
      </c>
      <c r="D60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0</v>
      </c>
      <c r="E60" s="3">
        <f>SUMIFS(Table2[Jumlah],Table2[Nama Barang],Table4[[#This Row],[Nama Barang]],Table2[Tanggal Masuk],"&gt;="&amp;'Sisa Stok Barang'!$H$4,Table2[Tanggal Masuk],"&lt;="&amp;'Sisa Stok Barang'!$I$4)</f>
        <v>0</v>
      </c>
      <c r="F60" s="3">
        <f>SUMIFS(Table3[Jumlah],Table3[Nama Barang],Table4[[#This Row],[Nama Barang]],Table3[Tanggal Keluar],"&gt;="&amp;'Sisa Stok Barang'!$H$4,Table3[Tanggal Keluar],"&lt;="&amp;'Sisa Stok Barang'!$I$4)</f>
        <v>0</v>
      </c>
      <c r="G60" s="66">
        <f>Table4[[#This Row],[Stok Awal]]+Table4[[#This Row],[Jumlah Masuk]]-Table4[[#This Row],[Jumlah Keluar]]</f>
        <v>0</v>
      </c>
    </row>
    <row r="61" spans="1:7" x14ac:dyDescent="0.2">
      <c r="A61" s="65">
        <f t="shared" si="0"/>
        <v>55</v>
      </c>
      <c r="B61" s="58" t="s">
        <v>41</v>
      </c>
      <c r="C61" s="5" t="s">
        <v>1</v>
      </c>
      <c r="D61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8</v>
      </c>
      <c r="E61" s="3">
        <f>SUMIFS(Table2[Jumlah],Table2[Nama Barang],Table4[[#This Row],[Nama Barang]],Table2[Tanggal Masuk],"&gt;="&amp;'Sisa Stok Barang'!$H$4,Table2[Tanggal Masuk],"&lt;="&amp;'Sisa Stok Barang'!$I$4)</f>
        <v>0</v>
      </c>
      <c r="F61" s="3">
        <f>SUMIFS(Table3[Jumlah],Table3[Nama Barang],Table4[[#This Row],[Nama Barang]],Table3[Tanggal Keluar],"&gt;="&amp;'Sisa Stok Barang'!$H$4,Table3[Tanggal Keluar],"&lt;="&amp;'Sisa Stok Barang'!$I$4)</f>
        <v>0</v>
      </c>
      <c r="G61" s="66">
        <f>Table4[[#This Row],[Stok Awal]]+Table4[[#This Row],[Jumlah Masuk]]-Table4[[#This Row],[Jumlah Keluar]]</f>
        <v>8</v>
      </c>
    </row>
    <row r="62" spans="1:7" x14ac:dyDescent="0.2">
      <c r="A62" s="65">
        <f t="shared" si="0"/>
        <v>56</v>
      </c>
      <c r="B62" s="56" t="s">
        <v>106</v>
      </c>
      <c r="C62" s="18" t="s">
        <v>49</v>
      </c>
      <c r="D62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60</v>
      </c>
      <c r="E62" s="3">
        <f>SUMIFS(Table2[Jumlah],Table2[Nama Barang],Table4[[#This Row],[Nama Barang]],Table2[Tanggal Masuk],"&gt;="&amp;'Sisa Stok Barang'!$H$4,Table2[Tanggal Masuk],"&lt;="&amp;'Sisa Stok Barang'!$I$4)</f>
        <v>0</v>
      </c>
      <c r="F62" s="3">
        <f>SUMIFS(Table3[Jumlah],Table3[Nama Barang],Table4[[#This Row],[Nama Barang]],Table3[Tanggal Keluar],"&gt;="&amp;'Sisa Stok Barang'!$H$4,Table3[Tanggal Keluar],"&lt;="&amp;'Sisa Stok Barang'!$I$4)</f>
        <v>0</v>
      </c>
      <c r="G62" s="66">
        <f>Table4[[#This Row],[Stok Awal]]+Table4[[#This Row],[Jumlah Masuk]]-Table4[[#This Row],[Jumlah Keluar]]</f>
        <v>60</v>
      </c>
    </row>
    <row r="63" spans="1:7" x14ac:dyDescent="0.2">
      <c r="A63" s="65">
        <f t="shared" si="0"/>
        <v>57</v>
      </c>
      <c r="B63" s="58" t="s">
        <v>42</v>
      </c>
      <c r="C63" s="5" t="s">
        <v>1</v>
      </c>
      <c r="D63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60</v>
      </c>
      <c r="E63" s="3">
        <f>SUMIFS(Table2[Jumlah],Table2[Nama Barang],Table4[[#This Row],[Nama Barang]],Table2[Tanggal Masuk],"&gt;="&amp;'Sisa Stok Barang'!$H$4,Table2[Tanggal Masuk],"&lt;="&amp;'Sisa Stok Barang'!$I$4)</f>
        <v>0</v>
      </c>
      <c r="F63" s="3">
        <f>SUMIFS(Table3[Jumlah],Table3[Nama Barang],Table4[[#This Row],[Nama Barang]],Table3[Tanggal Keluar],"&gt;="&amp;'Sisa Stok Barang'!$H$4,Table3[Tanggal Keluar],"&lt;="&amp;'Sisa Stok Barang'!$I$4)</f>
        <v>0</v>
      </c>
      <c r="G63" s="66">
        <f>Table4[[#This Row],[Stok Awal]]+Table4[[#This Row],[Jumlah Masuk]]-Table4[[#This Row],[Jumlah Keluar]]</f>
        <v>60</v>
      </c>
    </row>
    <row r="64" spans="1:7" x14ac:dyDescent="0.2">
      <c r="A64" s="65">
        <f t="shared" si="0"/>
        <v>58</v>
      </c>
      <c r="B64" s="56" t="s">
        <v>43</v>
      </c>
      <c r="C64" s="5" t="s">
        <v>1</v>
      </c>
      <c r="D64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38</v>
      </c>
      <c r="E64" s="3">
        <f>SUMIFS(Table2[Jumlah],Table2[Nama Barang],Table4[[#This Row],[Nama Barang]],Table2[Tanggal Masuk],"&gt;="&amp;'Sisa Stok Barang'!$H$4,Table2[Tanggal Masuk],"&lt;="&amp;'Sisa Stok Barang'!$I$4)</f>
        <v>0</v>
      </c>
      <c r="F64" s="3">
        <f>SUMIFS(Table3[Jumlah],Table3[Nama Barang],Table4[[#This Row],[Nama Barang]],Table3[Tanggal Keluar],"&gt;="&amp;'Sisa Stok Barang'!$H$4,Table3[Tanggal Keluar],"&lt;="&amp;'Sisa Stok Barang'!$I$4)</f>
        <v>0</v>
      </c>
      <c r="G64" s="66">
        <f>Table4[[#This Row],[Stok Awal]]+Table4[[#This Row],[Jumlah Masuk]]-Table4[[#This Row],[Jumlah Keluar]]</f>
        <v>38</v>
      </c>
    </row>
    <row r="65" spans="1:7" x14ac:dyDescent="0.2">
      <c r="A65" s="65">
        <f t="shared" si="0"/>
        <v>59</v>
      </c>
      <c r="B65" s="58" t="s">
        <v>93</v>
      </c>
      <c r="C65" s="18" t="s">
        <v>25</v>
      </c>
      <c r="D65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-1</v>
      </c>
      <c r="E65" s="3">
        <f>SUMIFS(Table2[Jumlah],Table2[Nama Barang],Table4[[#This Row],[Nama Barang]],Table2[Tanggal Masuk],"&gt;="&amp;'Sisa Stok Barang'!$H$4,Table2[Tanggal Masuk],"&lt;="&amp;'Sisa Stok Barang'!$I$4)</f>
        <v>0</v>
      </c>
      <c r="F65" s="3">
        <f>SUMIFS(Table3[Jumlah],Table3[Nama Barang],Table4[[#This Row],[Nama Barang]],Table3[Tanggal Keluar],"&gt;="&amp;'Sisa Stok Barang'!$H$4,Table3[Tanggal Keluar],"&lt;="&amp;'Sisa Stok Barang'!$I$4)</f>
        <v>0</v>
      </c>
      <c r="G65" s="66">
        <f>Table4[[#This Row],[Stok Awal]]+Table4[[#This Row],[Jumlah Masuk]]-Table4[[#This Row],[Jumlah Keluar]]</f>
        <v>-1</v>
      </c>
    </row>
    <row r="66" spans="1:7" x14ac:dyDescent="0.2">
      <c r="A66" s="65">
        <f t="shared" si="0"/>
        <v>60</v>
      </c>
      <c r="B66" s="56" t="s">
        <v>74</v>
      </c>
      <c r="C66" s="5" t="s">
        <v>1</v>
      </c>
      <c r="D66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10</v>
      </c>
      <c r="E66" s="3">
        <f>SUMIFS(Table2[Jumlah],Table2[Nama Barang],Table4[[#This Row],[Nama Barang]],Table2[Tanggal Masuk],"&gt;="&amp;'Sisa Stok Barang'!$H$4,Table2[Tanggal Masuk],"&lt;="&amp;'Sisa Stok Barang'!$I$4)</f>
        <v>0</v>
      </c>
      <c r="F66" s="3">
        <f>SUMIFS(Table3[Jumlah],Table3[Nama Barang],Table4[[#This Row],[Nama Barang]],Table3[Tanggal Keluar],"&gt;="&amp;'Sisa Stok Barang'!$H$4,Table3[Tanggal Keluar],"&lt;="&amp;'Sisa Stok Barang'!$I$4)</f>
        <v>0</v>
      </c>
      <c r="G66" s="66">
        <f>Table4[[#This Row],[Stok Awal]]+Table4[[#This Row],[Jumlah Masuk]]-Table4[[#This Row],[Jumlah Keluar]]</f>
        <v>10</v>
      </c>
    </row>
    <row r="67" spans="1:7" x14ac:dyDescent="0.2">
      <c r="A67" s="65">
        <f t="shared" si="0"/>
        <v>61</v>
      </c>
      <c r="B67" s="58" t="s">
        <v>44</v>
      </c>
      <c r="C67" s="5" t="s">
        <v>1</v>
      </c>
      <c r="D67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2</v>
      </c>
      <c r="E67" s="3">
        <f>SUMIFS(Table2[Jumlah],Table2[Nama Barang],Table4[[#This Row],[Nama Barang]],Table2[Tanggal Masuk],"&gt;="&amp;'Sisa Stok Barang'!$H$4,Table2[Tanggal Masuk],"&lt;="&amp;'Sisa Stok Barang'!$I$4)</f>
        <v>0</v>
      </c>
      <c r="F67" s="3">
        <f>SUMIFS(Table3[Jumlah],Table3[Nama Barang],Table4[[#This Row],[Nama Barang]],Table3[Tanggal Keluar],"&gt;="&amp;'Sisa Stok Barang'!$H$4,Table3[Tanggal Keluar],"&lt;="&amp;'Sisa Stok Barang'!$I$4)</f>
        <v>0</v>
      </c>
      <c r="G67" s="66">
        <f>Table4[[#This Row],[Stok Awal]]+Table4[[#This Row],[Jumlah Masuk]]-Table4[[#This Row],[Jumlah Keluar]]</f>
        <v>2</v>
      </c>
    </row>
    <row r="68" spans="1:7" x14ac:dyDescent="0.2">
      <c r="A68" s="65">
        <f t="shared" si="0"/>
        <v>62</v>
      </c>
      <c r="B68" s="56" t="s">
        <v>45</v>
      </c>
      <c r="C68" s="5" t="s">
        <v>1</v>
      </c>
      <c r="D68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4</v>
      </c>
      <c r="E68" s="3">
        <f>SUMIFS(Table2[Jumlah],Table2[Nama Barang],Table4[[#This Row],[Nama Barang]],Table2[Tanggal Masuk],"&gt;="&amp;'Sisa Stok Barang'!$H$4,Table2[Tanggal Masuk],"&lt;="&amp;'Sisa Stok Barang'!$I$4)</f>
        <v>0</v>
      </c>
      <c r="F68" s="3">
        <f>SUMIFS(Table3[Jumlah],Table3[Nama Barang],Table4[[#This Row],[Nama Barang]],Table3[Tanggal Keluar],"&gt;="&amp;'Sisa Stok Barang'!$H$4,Table3[Tanggal Keluar],"&lt;="&amp;'Sisa Stok Barang'!$I$4)</f>
        <v>0</v>
      </c>
      <c r="G68" s="66">
        <f>Table4[[#This Row],[Stok Awal]]+Table4[[#This Row],[Jumlah Masuk]]-Table4[[#This Row],[Jumlah Keluar]]</f>
        <v>4</v>
      </c>
    </row>
    <row r="69" spans="1:7" x14ac:dyDescent="0.2">
      <c r="A69" s="65">
        <f t="shared" si="0"/>
        <v>63</v>
      </c>
      <c r="B69" s="58" t="s">
        <v>46</v>
      </c>
      <c r="C69" s="5" t="s">
        <v>1</v>
      </c>
      <c r="D69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36</v>
      </c>
      <c r="E69" s="3">
        <f>SUMIFS(Table2[Jumlah],Table2[Nama Barang],Table4[[#This Row],[Nama Barang]],Table2[Tanggal Masuk],"&gt;="&amp;'Sisa Stok Barang'!$H$4,Table2[Tanggal Masuk],"&lt;="&amp;'Sisa Stok Barang'!$I$4)</f>
        <v>0</v>
      </c>
      <c r="F69" s="3">
        <f>SUMIFS(Table3[Jumlah],Table3[Nama Barang],Table4[[#This Row],[Nama Barang]],Table3[Tanggal Keluar],"&gt;="&amp;'Sisa Stok Barang'!$H$4,Table3[Tanggal Keluar],"&lt;="&amp;'Sisa Stok Barang'!$I$4)</f>
        <v>0</v>
      </c>
      <c r="G69" s="66">
        <f>Table4[[#This Row],[Stok Awal]]+Table4[[#This Row],[Jumlah Masuk]]-Table4[[#This Row],[Jumlah Keluar]]</f>
        <v>36</v>
      </c>
    </row>
    <row r="70" spans="1:7" x14ac:dyDescent="0.2">
      <c r="A70" s="65">
        <f t="shared" si="0"/>
        <v>64</v>
      </c>
      <c r="B70" s="56" t="s">
        <v>47</v>
      </c>
      <c r="C70" s="5" t="s">
        <v>1</v>
      </c>
      <c r="D70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36</v>
      </c>
      <c r="E70" s="3">
        <f>SUMIFS(Table2[Jumlah],Table2[Nama Barang],Table4[[#This Row],[Nama Barang]],Table2[Tanggal Masuk],"&gt;="&amp;'Sisa Stok Barang'!$H$4,Table2[Tanggal Masuk],"&lt;="&amp;'Sisa Stok Barang'!$I$4)</f>
        <v>0</v>
      </c>
      <c r="F70" s="3">
        <f>SUMIFS(Table3[Jumlah],Table3[Nama Barang],Table4[[#This Row],[Nama Barang]],Table3[Tanggal Keluar],"&gt;="&amp;'Sisa Stok Barang'!$H$4,Table3[Tanggal Keluar],"&lt;="&amp;'Sisa Stok Barang'!$I$4)</f>
        <v>0</v>
      </c>
      <c r="G70" s="66">
        <f>Table4[[#This Row],[Stok Awal]]+Table4[[#This Row],[Jumlah Masuk]]-Table4[[#This Row],[Jumlah Keluar]]</f>
        <v>36</v>
      </c>
    </row>
    <row r="71" spans="1:7" x14ac:dyDescent="0.2">
      <c r="A71" s="65">
        <f t="shared" si="0"/>
        <v>65</v>
      </c>
      <c r="B71" s="58" t="s">
        <v>48</v>
      </c>
      <c r="C71" s="5" t="s">
        <v>49</v>
      </c>
      <c r="D71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30</v>
      </c>
      <c r="E71" s="3">
        <f>SUMIFS(Table2[Jumlah],Table2[Nama Barang],Table4[[#This Row],[Nama Barang]],Table2[Tanggal Masuk],"&gt;="&amp;'Sisa Stok Barang'!$H$4,Table2[Tanggal Masuk],"&lt;="&amp;'Sisa Stok Barang'!$I$4)</f>
        <v>0</v>
      </c>
      <c r="F71" s="3">
        <f>SUMIFS(Table3[Jumlah],Table3[Nama Barang],Table4[[#This Row],[Nama Barang]],Table3[Tanggal Keluar],"&gt;="&amp;'Sisa Stok Barang'!$H$4,Table3[Tanggal Keluar],"&lt;="&amp;'Sisa Stok Barang'!$I$4)</f>
        <v>0</v>
      </c>
      <c r="G71" s="66">
        <f>Table4[[#This Row],[Stok Awal]]+Table4[[#This Row],[Jumlah Masuk]]-Table4[[#This Row],[Jumlah Keluar]]</f>
        <v>30</v>
      </c>
    </row>
    <row r="72" spans="1:7" x14ac:dyDescent="0.2">
      <c r="A72" s="65">
        <f t="shared" ref="A72:A135" si="1">ROW()-6</f>
        <v>66</v>
      </c>
      <c r="B72" s="56" t="s">
        <v>50</v>
      </c>
      <c r="C72" s="5" t="s">
        <v>49</v>
      </c>
      <c r="D72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102</v>
      </c>
      <c r="E72" s="3">
        <f>SUMIFS(Table2[Jumlah],Table2[Nama Barang],Table4[[#This Row],[Nama Barang]],Table2[Tanggal Masuk],"&gt;="&amp;'Sisa Stok Barang'!$H$4,Table2[Tanggal Masuk],"&lt;="&amp;'Sisa Stok Barang'!$I$4)</f>
        <v>0</v>
      </c>
      <c r="F72" s="3">
        <f>SUMIFS(Table3[Jumlah],Table3[Nama Barang],Table4[[#This Row],[Nama Barang]],Table3[Tanggal Keluar],"&gt;="&amp;'Sisa Stok Barang'!$H$4,Table3[Tanggal Keluar],"&lt;="&amp;'Sisa Stok Barang'!$I$4)</f>
        <v>0</v>
      </c>
      <c r="G72" s="66">
        <f>Table4[[#This Row],[Stok Awal]]+Table4[[#This Row],[Jumlah Masuk]]-Table4[[#This Row],[Jumlah Keluar]]</f>
        <v>102</v>
      </c>
    </row>
    <row r="73" spans="1:7" x14ac:dyDescent="0.2">
      <c r="A73" s="65">
        <f t="shared" si="1"/>
        <v>67</v>
      </c>
      <c r="B73" s="58" t="s">
        <v>51</v>
      </c>
      <c r="C73" s="5" t="s">
        <v>1</v>
      </c>
      <c r="D73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34</v>
      </c>
      <c r="E73" s="3">
        <f>SUMIFS(Table2[Jumlah],Table2[Nama Barang],Table4[[#This Row],[Nama Barang]],Table2[Tanggal Masuk],"&gt;="&amp;'Sisa Stok Barang'!$H$4,Table2[Tanggal Masuk],"&lt;="&amp;'Sisa Stok Barang'!$I$4)</f>
        <v>0</v>
      </c>
      <c r="F73" s="3">
        <f>SUMIFS(Table3[Jumlah],Table3[Nama Barang],Table4[[#This Row],[Nama Barang]],Table3[Tanggal Keluar],"&gt;="&amp;'Sisa Stok Barang'!$H$4,Table3[Tanggal Keluar],"&lt;="&amp;'Sisa Stok Barang'!$I$4)</f>
        <v>0</v>
      </c>
      <c r="G73" s="66">
        <f>Table4[[#This Row],[Stok Awal]]+Table4[[#This Row],[Jumlah Masuk]]-Table4[[#This Row],[Jumlah Keluar]]</f>
        <v>34</v>
      </c>
    </row>
    <row r="74" spans="1:7" x14ac:dyDescent="0.2">
      <c r="A74" s="65">
        <f t="shared" si="1"/>
        <v>68</v>
      </c>
      <c r="B74" s="56" t="s">
        <v>114</v>
      </c>
      <c r="C74" s="5" t="s">
        <v>52</v>
      </c>
      <c r="D74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19</v>
      </c>
      <c r="E74" s="3">
        <f>SUMIFS(Table2[Jumlah],Table2[Nama Barang],Table4[[#This Row],[Nama Barang]],Table2[Tanggal Masuk],"&gt;="&amp;'Sisa Stok Barang'!$H$4,Table2[Tanggal Masuk],"&lt;="&amp;'Sisa Stok Barang'!$I$4)</f>
        <v>0</v>
      </c>
      <c r="F74" s="3">
        <f>SUMIFS(Table3[Jumlah],Table3[Nama Barang],Table4[[#This Row],[Nama Barang]],Table3[Tanggal Keluar],"&gt;="&amp;'Sisa Stok Barang'!$H$4,Table3[Tanggal Keluar],"&lt;="&amp;'Sisa Stok Barang'!$I$4)</f>
        <v>0</v>
      </c>
      <c r="G74" s="66">
        <f>Table4[[#This Row],[Stok Awal]]+Table4[[#This Row],[Jumlah Masuk]]-Table4[[#This Row],[Jumlah Keluar]]</f>
        <v>19</v>
      </c>
    </row>
    <row r="75" spans="1:7" x14ac:dyDescent="0.2">
      <c r="A75" s="65">
        <f t="shared" si="1"/>
        <v>69</v>
      </c>
      <c r="B75" s="58" t="s">
        <v>53</v>
      </c>
      <c r="C75" s="5" t="s">
        <v>52</v>
      </c>
      <c r="D75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22</v>
      </c>
      <c r="E75" s="3">
        <f>SUMIFS(Table2[Jumlah],Table2[Nama Barang],Table4[[#This Row],[Nama Barang]],Table2[Tanggal Masuk],"&gt;="&amp;'Sisa Stok Barang'!$H$4,Table2[Tanggal Masuk],"&lt;="&amp;'Sisa Stok Barang'!$I$4)</f>
        <v>0</v>
      </c>
      <c r="F75" s="3">
        <f>SUMIFS(Table3[Jumlah],Table3[Nama Barang],Table4[[#This Row],[Nama Barang]],Table3[Tanggal Keluar],"&gt;="&amp;'Sisa Stok Barang'!$H$4,Table3[Tanggal Keluar],"&lt;="&amp;'Sisa Stok Barang'!$I$4)</f>
        <v>0</v>
      </c>
      <c r="G75" s="66">
        <f>Table4[[#This Row],[Stok Awal]]+Table4[[#This Row],[Jumlah Masuk]]-Table4[[#This Row],[Jumlah Keluar]]</f>
        <v>22</v>
      </c>
    </row>
    <row r="76" spans="1:7" x14ac:dyDescent="0.2">
      <c r="A76" s="65">
        <f t="shared" si="1"/>
        <v>70</v>
      </c>
      <c r="B76" s="56" t="s">
        <v>54</v>
      </c>
      <c r="C76" s="5" t="s">
        <v>49</v>
      </c>
      <c r="D76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55</v>
      </c>
      <c r="E76" s="3">
        <f>SUMIFS(Table2[Jumlah],Table2[Nama Barang],Table4[[#This Row],[Nama Barang]],Table2[Tanggal Masuk],"&gt;="&amp;'Sisa Stok Barang'!$H$4,Table2[Tanggal Masuk],"&lt;="&amp;'Sisa Stok Barang'!$I$4)</f>
        <v>0</v>
      </c>
      <c r="F76" s="3">
        <f>SUMIFS(Table3[Jumlah],Table3[Nama Barang],Table4[[#This Row],[Nama Barang]],Table3[Tanggal Keluar],"&gt;="&amp;'Sisa Stok Barang'!$H$4,Table3[Tanggal Keluar],"&lt;="&amp;'Sisa Stok Barang'!$I$4)</f>
        <v>0</v>
      </c>
      <c r="G76" s="66">
        <f>Table4[[#This Row],[Stok Awal]]+Table4[[#This Row],[Jumlah Masuk]]-Table4[[#This Row],[Jumlah Keluar]]</f>
        <v>55</v>
      </c>
    </row>
    <row r="77" spans="1:7" x14ac:dyDescent="0.2">
      <c r="A77" s="65">
        <f t="shared" si="1"/>
        <v>71</v>
      </c>
      <c r="B77" s="58" t="s">
        <v>55</v>
      </c>
      <c r="C77" s="5" t="s">
        <v>49</v>
      </c>
      <c r="D77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96</v>
      </c>
      <c r="E77" s="3">
        <f>SUMIFS(Table2[Jumlah],Table2[Nama Barang],Table4[[#This Row],[Nama Barang]],Table2[Tanggal Masuk],"&gt;="&amp;'Sisa Stok Barang'!$H$4,Table2[Tanggal Masuk],"&lt;="&amp;'Sisa Stok Barang'!$I$4)</f>
        <v>0</v>
      </c>
      <c r="F77" s="3">
        <f>SUMIFS(Table3[Jumlah],Table3[Nama Barang],Table4[[#This Row],[Nama Barang]],Table3[Tanggal Keluar],"&gt;="&amp;'Sisa Stok Barang'!$H$4,Table3[Tanggal Keluar],"&lt;="&amp;'Sisa Stok Barang'!$I$4)</f>
        <v>0</v>
      </c>
      <c r="G77" s="66">
        <f>Table4[[#This Row],[Stok Awal]]+Table4[[#This Row],[Jumlah Masuk]]-Table4[[#This Row],[Jumlah Keluar]]</f>
        <v>96</v>
      </c>
    </row>
    <row r="78" spans="1:7" x14ac:dyDescent="0.2">
      <c r="A78" s="65">
        <f t="shared" si="1"/>
        <v>72</v>
      </c>
      <c r="B78" s="56" t="s">
        <v>56</v>
      </c>
      <c r="C78" s="5" t="s">
        <v>49</v>
      </c>
      <c r="D78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57</v>
      </c>
      <c r="E78" s="3">
        <f>SUMIFS(Table2[Jumlah],Table2[Nama Barang],Table4[[#This Row],[Nama Barang]],Table2[Tanggal Masuk],"&gt;="&amp;'Sisa Stok Barang'!$H$4,Table2[Tanggal Masuk],"&lt;="&amp;'Sisa Stok Barang'!$I$4)</f>
        <v>0</v>
      </c>
      <c r="F78" s="3">
        <f>SUMIFS(Table3[Jumlah],Table3[Nama Barang],Table4[[#This Row],[Nama Barang]],Table3[Tanggal Keluar],"&gt;="&amp;'Sisa Stok Barang'!$H$4,Table3[Tanggal Keluar],"&lt;="&amp;'Sisa Stok Barang'!$I$4)</f>
        <v>0</v>
      </c>
      <c r="G78" s="66">
        <f>Table4[[#This Row],[Stok Awal]]+Table4[[#This Row],[Jumlah Masuk]]-Table4[[#This Row],[Jumlah Keluar]]</f>
        <v>57</v>
      </c>
    </row>
    <row r="79" spans="1:7" x14ac:dyDescent="0.2">
      <c r="A79" s="65">
        <f t="shared" si="1"/>
        <v>73</v>
      </c>
      <c r="B79" s="58" t="s">
        <v>57</v>
      </c>
      <c r="C79" s="5" t="s">
        <v>49</v>
      </c>
      <c r="D79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84</v>
      </c>
      <c r="E79" s="3">
        <f>SUMIFS(Table2[Jumlah],Table2[Nama Barang],Table4[[#This Row],[Nama Barang]],Table2[Tanggal Masuk],"&gt;="&amp;'Sisa Stok Barang'!$H$4,Table2[Tanggal Masuk],"&lt;="&amp;'Sisa Stok Barang'!$I$4)</f>
        <v>0</v>
      </c>
      <c r="F79" s="3">
        <f>SUMIFS(Table3[Jumlah],Table3[Nama Barang],Table4[[#This Row],[Nama Barang]],Table3[Tanggal Keluar],"&gt;="&amp;'Sisa Stok Barang'!$H$4,Table3[Tanggal Keluar],"&lt;="&amp;'Sisa Stok Barang'!$I$4)</f>
        <v>0</v>
      </c>
      <c r="G79" s="66">
        <f>Table4[[#This Row],[Stok Awal]]+Table4[[#This Row],[Jumlah Masuk]]-Table4[[#This Row],[Jumlah Keluar]]</f>
        <v>84</v>
      </c>
    </row>
    <row r="80" spans="1:7" x14ac:dyDescent="0.2">
      <c r="A80" s="65">
        <f t="shared" si="1"/>
        <v>74</v>
      </c>
      <c r="B80" s="56" t="s">
        <v>58</v>
      </c>
      <c r="C80" s="5" t="s">
        <v>1</v>
      </c>
      <c r="D80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185</v>
      </c>
      <c r="E80" s="3">
        <f>SUMIFS(Table2[Jumlah],Table2[Nama Barang],Table4[[#This Row],[Nama Barang]],Table2[Tanggal Masuk],"&gt;="&amp;'Sisa Stok Barang'!$H$4,Table2[Tanggal Masuk],"&lt;="&amp;'Sisa Stok Barang'!$I$4)</f>
        <v>0</v>
      </c>
      <c r="F80" s="3">
        <f>SUMIFS(Table3[Jumlah],Table3[Nama Barang],Table4[[#This Row],[Nama Barang]],Table3[Tanggal Keluar],"&gt;="&amp;'Sisa Stok Barang'!$H$4,Table3[Tanggal Keluar],"&lt;="&amp;'Sisa Stok Barang'!$I$4)</f>
        <v>0</v>
      </c>
      <c r="G80" s="66">
        <f>Table4[[#This Row],[Stok Awal]]+Table4[[#This Row],[Jumlah Masuk]]-Table4[[#This Row],[Jumlah Keluar]]</f>
        <v>185</v>
      </c>
    </row>
    <row r="81" spans="1:7" x14ac:dyDescent="0.2">
      <c r="A81" s="65">
        <f t="shared" si="1"/>
        <v>75</v>
      </c>
      <c r="B81" s="58" t="s">
        <v>116</v>
      </c>
      <c r="C81" s="5" t="s">
        <v>52</v>
      </c>
      <c r="D81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8</v>
      </c>
      <c r="E81" s="3">
        <f>SUMIFS(Table2[Jumlah],Table2[Nama Barang],Table4[[#This Row],[Nama Barang]],Table2[Tanggal Masuk],"&gt;="&amp;'Sisa Stok Barang'!$H$4,Table2[Tanggal Masuk],"&lt;="&amp;'Sisa Stok Barang'!$I$4)</f>
        <v>0</v>
      </c>
      <c r="F81" s="3">
        <f>SUMIFS(Table3[Jumlah],Table3[Nama Barang],Table4[[#This Row],[Nama Barang]],Table3[Tanggal Keluar],"&gt;="&amp;'Sisa Stok Barang'!$H$4,Table3[Tanggal Keluar],"&lt;="&amp;'Sisa Stok Barang'!$I$4)</f>
        <v>0</v>
      </c>
      <c r="G81" s="66">
        <f>Table4[[#This Row],[Stok Awal]]+Table4[[#This Row],[Jumlah Masuk]]-Table4[[#This Row],[Jumlah Keluar]]</f>
        <v>8</v>
      </c>
    </row>
    <row r="82" spans="1:7" x14ac:dyDescent="0.2">
      <c r="A82" s="65">
        <f t="shared" si="1"/>
        <v>76</v>
      </c>
      <c r="B82" s="56" t="s">
        <v>115</v>
      </c>
      <c r="C82" s="5" t="s">
        <v>52</v>
      </c>
      <c r="D82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5</v>
      </c>
      <c r="E82" s="3">
        <f>SUMIFS(Table2[Jumlah],Table2[Nama Barang],Table4[[#This Row],[Nama Barang]],Table2[Tanggal Masuk],"&gt;="&amp;'Sisa Stok Barang'!$H$4,Table2[Tanggal Masuk],"&lt;="&amp;'Sisa Stok Barang'!$I$4)</f>
        <v>0</v>
      </c>
      <c r="F82" s="3">
        <f>SUMIFS(Table3[Jumlah],Table3[Nama Barang],Table4[[#This Row],[Nama Barang]],Table3[Tanggal Keluar],"&gt;="&amp;'Sisa Stok Barang'!$H$4,Table3[Tanggal Keluar],"&lt;="&amp;'Sisa Stok Barang'!$I$4)</f>
        <v>0</v>
      </c>
      <c r="G82" s="66">
        <f>Table4[[#This Row],[Stok Awal]]+Table4[[#This Row],[Jumlah Masuk]]-Table4[[#This Row],[Jumlah Keluar]]</f>
        <v>5</v>
      </c>
    </row>
    <row r="83" spans="1:7" x14ac:dyDescent="0.2">
      <c r="A83" s="65">
        <f t="shared" si="1"/>
        <v>77</v>
      </c>
      <c r="B83" s="58" t="s">
        <v>117</v>
      </c>
      <c r="C83" s="5" t="s">
        <v>52</v>
      </c>
      <c r="D83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0</v>
      </c>
      <c r="E83" s="3">
        <f>SUMIFS(Table2[Jumlah],Table2[Nama Barang],Table4[[#This Row],[Nama Barang]],Table2[Tanggal Masuk],"&gt;="&amp;'Sisa Stok Barang'!$H$4,Table2[Tanggal Masuk],"&lt;="&amp;'Sisa Stok Barang'!$I$4)</f>
        <v>0</v>
      </c>
      <c r="F83" s="3">
        <f>SUMIFS(Table3[Jumlah],Table3[Nama Barang],Table4[[#This Row],[Nama Barang]],Table3[Tanggal Keluar],"&gt;="&amp;'Sisa Stok Barang'!$H$4,Table3[Tanggal Keluar],"&lt;="&amp;'Sisa Stok Barang'!$I$4)</f>
        <v>0</v>
      </c>
      <c r="G83" s="66">
        <f>Table4[[#This Row],[Stok Awal]]+Table4[[#This Row],[Jumlah Masuk]]-Table4[[#This Row],[Jumlah Keluar]]</f>
        <v>0</v>
      </c>
    </row>
    <row r="84" spans="1:7" x14ac:dyDescent="0.2">
      <c r="A84" s="65">
        <f t="shared" si="1"/>
        <v>78</v>
      </c>
      <c r="B84" s="56" t="s">
        <v>59</v>
      </c>
      <c r="C84" s="5" t="s">
        <v>1</v>
      </c>
      <c r="D84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1004</v>
      </c>
      <c r="E84" s="3">
        <f>SUMIFS(Table2[Jumlah],Table2[Nama Barang],Table4[[#This Row],[Nama Barang]],Table2[Tanggal Masuk],"&gt;="&amp;'Sisa Stok Barang'!$H$4,Table2[Tanggal Masuk],"&lt;="&amp;'Sisa Stok Barang'!$I$4)</f>
        <v>0</v>
      </c>
      <c r="F84" s="3">
        <f>SUMIFS(Table3[Jumlah],Table3[Nama Barang],Table4[[#This Row],[Nama Barang]],Table3[Tanggal Keluar],"&gt;="&amp;'Sisa Stok Barang'!$H$4,Table3[Tanggal Keluar],"&lt;="&amp;'Sisa Stok Barang'!$I$4)</f>
        <v>0</v>
      </c>
      <c r="G84" s="66">
        <f>Table4[[#This Row],[Stok Awal]]+Table4[[#This Row],[Jumlah Masuk]]-Table4[[#This Row],[Jumlah Keluar]]</f>
        <v>1004</v>
      </c>
    </row>
    <row r="85" spans="1:7" x14ac:dyDescent="0.2">
      <c r="A85" s="65">
        <f t="shared" si="1"/>
        <v>79</v>
      </c>
      <c r="B85" s="58" t="s">
        <v>75</v>
      </c>
      <c r="C85" s="5" t="s">
        <v>1</v>
      </c>
      <c r="D85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288</v>
      </c>
      <c r="E85" s="3">
        <f>SUMIFS(Table2[Jumlah],Table2[Nama Barang],Table4[[#This Row],[Nama Barang]],Table2[Tanggal Masuk],"&gt;="&amp;'Sisa Stok Barang'!$H$4,Table2[Tanggal Masuk],"&lt;="&amp;'Sisa Stok Barang'!$I$4)</f>
        <v>0</v>
      </c>
      <c r="F85" s="3">
        <f>SUMIFS(Table3[Jumlah],Table3[Nama Barang],Table4[[#This Row],[Nama Barang]],Table3[Tanggal Keluar],"&gt;="&amp;'Sisa Stok Barang'!$H$4,Table3[Tanggal Keluar],"&lt;="&amp;'Sisa Stok Barang'!$I$4)</f>
        <v>0</v>
      </c>
      <c r="G85" s="66">
        <f>Table4[[#This Row],[Stok Awal]]+Table4[[#This Row],[Jumlah Masuk]]-Table4[[#This Row],[Jumlah Keluar]]</f>
        <v>288</v>
      </c>
    </row>
    <row r="86" spans="1:7" x14ac:dyDescent="0.2">
      <c r="A86" s="65">
        <f t="shared" si="1"/>
        <v>80</v>
      </c>
      <c r="B86" s="56" t="s">
        <v>60</v>
      </c>
      <c r="C86" s="5" t="s">
        <v>1</v>
      </c>
      <c r="D86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100</v>
      </c>
      <c r="E86" s="3">
        <f>SUMIFS(Table2[Jumlah],Table2[Nama Barang],Table4[[#This Row],[Nama Barang]],Table2[Tanggal Masuk],"&gt;="&amp;'Sisa Stok Barang'!$H$4,Table2[Tanggal Masuk],"&lt;="&amp;'Sisa Stok Barang'!$I$4)</f>
        <v>0</v>
      </c>
      <c r="F86" s="3">
        <f>SUMIFS(Table3[Jumlah],Table3[Nama Barang],Table4[[#This Row],[Nama Barang]],Table3[Tanggal Keluar],"&gt;="&amp;'Sisa Stok Barang'!$H$4,Table3[Tanggal Keluar],"&lt;="&amp;'Sisa Stok Barang'!$I$4)</f>
        <v>0</v>
      </c>
      <c r="G86" s="66">
        <f>Table4[[#This Row],[Stok Awal]]+Table4[[#This Row],[Jumlah Masuk]]-Table4[[#This Row],[Jumlah Keluar]]</f>
        <v>100</v>
      </c>
    </row>
    <row r="87" spans="1:7" x14ac:dyDescent="0.2">
      <c r="A87" s="65">
        <f t="shared" si="1"/>
        <v>81</v>
      </c>
      <c r="B87" s="58" t="s">
        <v>76</v>
      </c>
      <c r="C87" s="5" t="s">
        <v>1</v>
      </c>
      <c r="D87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8</v>
      </c>
      <c r="E87" s="3">
        <f>SUMIFS(Table2[Jumlah],Table2[Nama Barang],Table4[[#This Row],[Nama Barang]],Table2[Tanggal Masuk],"&gt;="&amp;'Sisa Stok Barang'!$H$4,Table2[Tanggal Masuk],"&lt;="&amp;'Sisa Stok Barang'!$I$4)</f>
        <v>0</v>
      </c>
      <c r="F87" s="3">
        <f>SUMIFS(Table3[Jumlah],Table3[Nama Barang],Table4[[#This Row],[Nama Barang]],Table3[Tanggal Keluar],"&gt;="&amp;'Sisa Stok Barang'!$H$4,Table3[Tanggal Keluar],"&lt;="&amp;'Sisa Stok Barang'!$I$4)</f>
        <v>0</v>
      </c>
      <c r="G87" s="66">
        <f>Table4[[#This Row],[Stok Awal]]+Table4[[#This Row],[Jumlah Masuk]]-Table4[[#This Row],[Jumlah Keluar]]</f>
        <v>8</v>
      </c>
    </row>
    <row r="88" spans="1:7" x14ac:dyDescent="0.2">
      <c r="A88" s="65">
        <f t="shared" si="1"/>
        <v>82</v>
      </c>
      <c r="B88" s="56" t="s">
        <v>68</v>
      </c>
      <c r="C88" s="5" t="s">
        <v>1</v>
      </c>
      <c r="D88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59</v>
      </c>
      <c r="E88" s="3">
        <f>SUMIFS(Table2[Jumlah],Table2[Nama Barang],Table4[[#This Row],[Nama Barang]],Table2[Tanggal Masuk],"&gt;="&amp;'Sisa Stok Barang'!$H$4,Table2[Tanggal Masuk],"&lt;="&amp;'Sisa Stok Barang'!$I$4)</f>
        <v>0</v>
      </c>
      <c r="F88" s="3">
        <f>SUMIFS(Table3[Jumlah],Table3[Nama Barang],Table4[[#This Row],[Nama Barang]],Table3[Tanggal Keluar],"&gt;="&amp;'Sisa Stok Barang'!$H$4,Table3[Tanggal Keluar],"&lt;="&amp;'Sisa Stok Barang'!$I$4)</f>
        <v>0</v>
      </c>
      <c r="G88" s="66">
        <f>Table4[[#This Row],[Stok Awal]]+Table4[[#This Row],[Jumlah Masuk]]-Table4[[#This Row],[Jumlah Keluar]]</f>
        <v>59</v>
      </c>
    </row>
    <row r="89" spans="1:7" x14ac:dyDescent="0.2">
      <c r="A89" s="65">
        <f t="shared" si="1"/>
        <v>83</v>
      </c>
      <c r="B89" s="58" t="s">
        <v>61</v>
      </c>
      <c r="C89" s="5" t="s">
        <v>1</v>
      </c>
      <c r="D89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1</v>
      </c>
      <c r="E89" s="3">
        <f>SUMIFS(Table2[Jumlah],Table2[Nama Barang],Table4[[#This Row],[Nama Barang]],Table2[Tanggal Masuk],"&gt;="&amp;'Sisa Stok Barang'!$H$4,Table2[Tanggal Masuk],"&lt;="&amp;'Sisa Stok Barang'!$I$4)</f>
        <v>0</v>
      </c>
      <c r="F89" s="3">
        <f>SUMIFS(Table3[Jumlah],Table3[Nama Barang],Table4[[#This Row],[Nama Barang]],Table3[Tanggal Keluar],"&gt;="&amp;'Sisa Stok Barang'!$H$4,Table3[Tanggal Keluar],"&lt;="&amp;'Sisa Stok Barang'!$I$4)</f>
        <v>0</v>
      </c>
      <c r="G89" s="66">
        <f>Table4[[#This Row],[Stok Awal]]+Table4[[#This Row],[Jumlah Masuk]]-Table4[[#This Row],[Jumlah Keluar]]</f>
        <v>1</v>
      </c>
    </row>
    <row r="90" spans="1:7" x14ac:dyDescent="0.2">
      <c r="A90" s="65">
        <f t="shared" si="1"/>
        <v>84</v>
      </c>
      <c r="B90" s="56" t="s">
        <v>109</v>
      </c>
      <c r="C90" s="5" t="s">
        <v>1</v>
      </c>
      <c r="D90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3</v>
      </c>
      <c r="E90" s="3">
        <f>SUMIFS(Table2[Jumlah],Table2[Nama Barang],Table4[[#This Row],[Nama Barang]],Table2[Tanggal Masuk],"&gt;="&amp;'Sisa Stok Barang'!$H$4,Table2[Tanggal Masuk],"&lt;="&amp;'Sisa Stok Barang'!$I$4)</f>
        <v>0</v>
      </c>
      <c r="F90" s="3">
        <f>SUMIFS(Table3[Jumlah],Table3[Nama Barang],Table4[[#This Row],[Nama Barang]],Table3[Tanggal Keluar],"&gt;="&amp;'Sisa Stok Barang'!$H$4,Table3[Tanggal Keluar],"&lt;="&amp;'Sisa Stok Barang'!$I$4)</f>
        <v>0</v>
      </c>
      <c r="G90" s="66">
        <f>Table4[[#This Row],[Stok Awal]]+Table4[[#This Row],[Jumlah Masuk]]-Table4[[#This Row],[Jumlah Keluar]]</f>
        <v>3</v>
      </c>
    </row>
    <row r="91" spans="1:7" x14ac:dyDescent="0.2">
      <c r="A91" s="65">
        <f t="shared" si="1"/>
        <v>85</v>
      </c>
      <c r="B91" s="58" t="s">
        <v>67</v>
      </c>
      <c r="C91" s="5" t="s">
        <v>1</v>
      </c>
      <c r="D91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1</v>
      </c>
      <c r="E91" s="3">
        <f>SUMIFS(Table2[Jumlah],Table2[Nama Barang],Table4[[#This Row],[Nama Barang]],Table2[Tanggal Masuk],"&gt;="&amp;'Sisa Stok Barang'!$H$4,Table2[Tanggal Masuk],"&lt;="&amp;'Sisa Stok Barang'!$I$4)</f>
        <v>0</v>
      </c>
      <c r="F91" s="3">
        <f>SUMIFS(Table3[Jumlah],Table3[Nama Barang],Table4[[#This Row],[Nama Barang]],Table3[Tanggal Keluar],"&gt;="&amp;'Sisa Stok Barang'!$H$4,Table3[Tanggal Keluar],"&lt;="&amp;'Sisa Stok Barang'!$I$4)</f>
        <v>0</v>
      </c>
      <c r="G91" s="66">
        <f>Table4[[#This Row],[Stok Awal]]+Table4[[#This Row],[Jumlah Masuk]]-Table4[[#This Row],[Jumlah Keluar]]</f>
        <v>1</v>
      </c>
    </row>
    <row r="92" spans="1:7" x14ac:dyDescent="0.2">
      <c r="A92" s="65">
        <f t="shared" si="1"/>
        <v>86</v>
      </c>
      <c r="B92" s="56" t="s">
        <v>179</v>
      </c>
      <c r="C92" s="18" t="s">
        <v>1</v>
      </c>
      <c r="D92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1</v>
      </c>
      <c r="E92" s="3">
        <f>SUMIFS(Table2[Jumlah],Table2[Nama Barang],Table4[[#This Row],[Nama Barang]],Table2[Tanggal Masuk],"&gt;="&amp;'Sisa Stok Barang'!$H$4,Table2[Tanggal Masuk],"&lt;="&amp;'Sisa Stok Barang'!$I$4)</f>
        <v>0</v>
      </c>
      <c r="F92" s="3">
        <f>SUMIFS(Table3[Jumlah],Table3[Nama Barang],Table4[[#This Row],[Nama Barang]],Table3[Tanggal Keluar],"&gt;="&amp;'Sisa Stok Barang'!$H$4,Table3[Tanggal Keluar],"&lt;="&amp;'Sisa Stok Barang'!$I$4)</f>
        <v>0</v>
      </c>
      <c r="G92" s="66">
        <f>Table4[[#This Row],[Stok Awal]]+Table4[[#This Row],[Jumlah Masuk]]-Table4[[#This Row],[Jumlah Keluar]]</f>
        <v>1</v>
      </c>
    </row>
    <row r="93" spans="1:7" x14ac:dyDescent="0.2">
      <c r="A93" s="65">
        <f t="shared" si="1"/>
        <v>87</v>
      </c>
      <c r="B93" s="58" t="s">
        <v>62</v>
      </c>
      <c r="C93" s="5" t="s">
        <v>1</v>
      </c>
      <c r="D93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3</v>
      </c>
      <c r="E93" s="3">
        <f>SUMIFS(Table2[Jumlah],Table2[Nama Barang],Table4[[#This Row],[Nama Barang]],Table2[Tanggal Masuk],"&gt;="&amp;'Sisa Stok Barang'!$H$4,Table2[Tanggal Masuk],"&lt;="&amp;'Sisa Stok Barang'!$I$4)</f>
        <v>0</v>
      </c>
      <c r="F93" s="3">
        <f>SUMIFS(Table3[Jumlah],Table3[Nama Barang],Table4[[#This Row],[Nama Barang]],Table3[Tanggal Keluar],"&gt;="&amp;'Sisa Stok Barang'!$H$4,Table3[Tanggal Keluar],"&lt;="&amp;'Sisa Stok Barang'!$I$4)</f>
        <v>0</v>
      </c>
      <c r="G93" s="66">
        <f>Table4[[#This Row],[Stok Awal]]+Table4[[#This Row],[Jumlah Masuk]]-Table4[[#This Row],[Jumlah Keluar]]</f>
        <v>3</v>
      </c>
    </row>
    <row r="94" spans="1:7" x14ac:dyDescent="0.2">
      <c r="A94" s="65">
        <f t="shared" si="1"/>
        <v>88</v>
      </c>
      <c r="B94" s="56" t="s">
        <v>118</v>
      </c>
      <c r="C94" s="5" t="s">
        <v>1</v>
      </c>
      <c r="D94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3</v>
      </c>
      <c r="E94" s="3">
        <f>SUMIFS(Table2[Jumlah],Table2[Nama Barang],Table4[[#This Row],[Nama Barang]],Table2[Tanggal Masuk],"&gt;="&amp;'Sisa Stok Barang'!$H$4,Table2[Tanggal Masuk],"&lt;="&amp;'Sisa Stok Barang'!$I$4)</f>
        <v>0</v>
      </c>
      <c r="F94" s="3">
        <f>SUMIFS(Table3[Jumlah],Table3[Nama Barang],Table4[[#This Row],[Nama Barang]],Table3[Tanggal Keluar],"&gt;="&amp;'Sisa Stok Barang'!$H$4,Table3[Tanggal Keluar],"&lt;="&amp;'Sisa Stok Barang'!$I$4)</f>
        <v>0</v>
      </c>
      <c r="G94" s="66">
        <f>Table4[[#This Row],[Stok Awal]]+Table4[[#This Row],[Jumlah Masuk]]-Table4[[#This Row],[Jumlah Keluar]]</f>
        <v>3</v>
      </c>
    </row>
    <row r="95" spans="1:7" x14ac:dyDescent="0.2">
      <c r="A95" s="65">
        <f t="shared" si="1"/>
        <v>89</v>
      </c>
      <c r="B95" s="58" t="s">
        <v>180</v>
      </c>
      <c r="C95" s="5" t="s">
        <v>1</v>
      </c>
      <c r="D95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7</v>
      </c>
      <c r="E95" s="3">
        <f>SUMIFS(Table2[Jumlah],Table2[Nama Barang],Table4[[#This Row],[Nama Barang]],Table2[Tanggal Masuk],"&gt;="&amp;'Sisa Stok Barang'!$H$4,Table2[Tanggal Masuk],"&lt;="&amp;'Sisa Stok Barang'!$I$4)</f>
        <v>0</v>
      </c>
      <c r="F95" s="3">
        <f>SUMIFS(Table3[Jumlah],Table3[Nama Barang],Table4[[#This Row],[Nama Barang]],Table3[Tanggal Keluar],"&gt;="&amp;'Sisa Stok Barang'!$H$4,Table3[Tanggal Keluar],"&lt;="&amp;'Sisa Stok Barang'!$I$4)</f>
        <v>0</v>
      </c>
      <c r="G95" s="66">
        <f>Table4[[#This Row],[Stok Awal]]+Table4[[#This Row],[Jumlah Masuk]]-Table4[[#This Row],[Jumlah Keluar]]</f>
        <v>7</v>
      </c>
    </row>
    <row r="96" spans="1:7" x14ac:dyDescent="0.2">
      <c r="A96" s="65">
        <f t="shared" si="1"/>
        <v>90</v>
      </c>
      <c r="B96" s="56" t="s">
        <v>77</v>
      </c>
      <c r="C96" s="18" t="s">
        <v>1</v>
      </c>
      <c r="D96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2</v>
      </c>
      <c r="E96" s="3">
        <f>SUMIFS(Table2[Jumlah],Table2[Nama Barang],Table4[[#This Row],[Nama Barang]],Table2[Tanggal Masuk],"&gt;="&amp;'Sisa Stok Barang'!$H$4,Table2[Tanggal Masuk],"&lt;="&amp;'Sisa Stok Barang'!$I$4)</f>
        <v>0</v>
      </c>
      <c r="F96" s="3">
        <f>SUMIFS(Table3[Jumlah],Table3[Nama Barang],Table4[[#This Row],[Nama Barang]],Table3[Tanggal Keluar],"&gt;="&amp;'Sisa Stok Barang'!$H$4,Table3[Tanggal Keluar],"&lt;="&amp;'Sisa Stok Barang'!$I$4)</f>
        <v>0</v>
      </c>
      <c r="G96" s="66">
        <f>Table4[[#This Row],[Stok Awal]]+Table4[[#This Row],[Jumlah Masuk]]-Table4[[#This Row],[Jumlah Keluar]]</f>
        <v>2</v>
      </c>
    </row>
    <row r="97" spans="1:7" x14ac:dyDescent="0.2">
      <c r="A97" s="65">
        <f t="shared" si="1"/>
        <v>91</v>
      </c>
      <c r="B97" s="58" t="s">
        <v>181</v>
      </c>
      <c r="C97" s="18" t="s">
        <v>1</v>
      </c>
      <c r="D97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8</v>
      </c>
      <c r="E97" s="3">
        <f>SUMIFS(Table2[Jumlah],Table2[Nama Barang],Table4[[#This Row],[Nama Barang]],Table2[Tanggal Masuk],"&gt;="&amp;'Sisa Stok Barang'!$H$4,Table2[Tanggal Masuk],"&lt;="&amp;'Sisa Stok Barang'!$I$4)</f>
        <v>0</v>
      </c>
      <c r="F97" s="3">
        <f>SUMIFS(Table3[Jumlah],Table3[Nama Barang],Table4[[#This Row],[Nama Barang]],Table3[Tanggal Keluar],"&gt;="&amp;'Sisa Stok Barang'!$H$4,Table3[Tanggal Keluar],"&lt;="&amp;'Sisa Stok Barang'!$I$4)</f>
        <v>0</v>
      </c>
      <c r="G97" s="66">
        <f>Table4[[#This Row],[Stok Awal]]+Table4[[#This Row],[Jumlah Masuk]]-Table4[[#This Row],[Jumlah Keluar]]</f>
        <v>8</v>
      </c>
    </row>
    <row r="98" spans="1:7" x14ac:dyDescent="0.2">
      <c r="A98" s="65">
        <f t="shared" si="1"/>
        <v>92</v>
      </c>
      <c r="B98" s="56" t="s">
        <v>182</v>
      </c>
      <c r="C98" s="18" t="s">
        <v>1</v>
      </c>
      <c r="D98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28</v>
      </c>
      <c r="E98" s="3">
        <f>SUMIFS(Table2[Jumlah],Table2[Nama Barang],Table4[[#This Row],[Nama Barang]],Table2[Tanggal Masuk],"&gt;="&amp;'Sisa Stok Barang'!$H$4,Table2[Tanggal Masuk],"&lt;="&amp;'Sisa Stok Barang'!$I$4)</f>
        <v>0</v>
      </c>
      <c r="F98" s="3">
        <f>SUMIFS(Table3[Jumlah],Table3[Nama Barang],Table4[[#This Row],[Nama Barang]],Table3[Tanggal Keluar],"&gt;="&amp;'Sisa Stok Barang'!$H$4,Table3[Tanggal Keluar],"&lt;="&amp;'Sisa Stok Barang'!$I$4)</f>
        <v>0</v>
      </c>
      <c r="G98" s="66">
        <f>Table4[[#This Row],[Stok Awal]]+Table4[[#This Row],[Jumlah Masuk]]-Table4[[#This Row],[Jumlah Keluar]]</f>
        <v>28</v>
      </c>
    </row>
    <row r="99" spans="1:7" x14ac:dyDescent="0.2">
      <c r="A99" s="65">
        <f t="shared" si="1"/>
        <v>93</v>
      </c>
      <c r="B99" s="58" t="s">
        <v>183</v>
      </c>
      <c r="C99" s="18" t="s">
        <v>1</v>
      </c>
      <c r="D99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8</v>
      </c>
      <c r="E99" s="3">
        <f>SUMIFS(Table2[Jumlah],Table2[Nama Barang],Table4[[#This Row],[Nama Barang]],Table2[Tanggal Masuk],"&gt;="&amp;'Sisa Stok Barang'!$H$4,Table2[Tanggal Masuk],"&lt;="&amp;'Sisa Stok Barang'!$I$4)</f>
        <v>0</v>
      </c>
      <c r="F99" s="3">
        <f>SUMIFS(Table3[Jumlah],Table3[Nama Barang],Table4[[#This Row],[Nama Barang]],Table3[Tanggal Keluar],"&gt;="&amp;'Sisa Stok Barang'!$H$4,Table3[Tanggal Keluar],"&lt;="&amp;'Sisa Stok Barang'!$I$4)</f>
        <v>0</v>
      </c>
      <c r="G99" s="66">
        <f>Table4[[#This Row],[Stok Awal]]+Table4[[#This Row],[Jumlah Masuk]]-Table4[[#This Row],[Jumlah Keluar]]</f>
        <v>8</v>
      </c>
    </row>
    <row r="100" spans="1:7" x14ac:dyDescent="0.2">
      <c r="A100" s="65">
        <f t="shared" si="1"/>
        <v>94</v>
      </c>
      <c r="B100" s="56" t="s">
        <v>184</v>
      </c>
      <c r="C100" s="18" t="s">
        <v>1</v>
      </c>
      <c r="D100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1</v>
      </c>
      <c r="E100" s="3">
        <f>SUMIFS(Table2[Jumlah],Table2[Nama Barang],Table4[[#This Row],[Nama Barang]],Table2[Tanggal Masuk],"&gt;="&amp;'Sisa Stok Barang'!$H$4,Table2[Tanggal Masuk],"&lt;="&amp;'Sisa Stok Barang'!$I$4)</f>
        <v>0</v>
      </c>
      <c r="F100" s="3">
        <f>SUMIFS(Table3[Jumlah],Table3[Nama Barang],Table4[[#This Row],[Nama Barang]],Table3[Tanggal Keluar],"&gt;="&amp;'Sisa Stok Barang'!$H$4,Table3[Tanggal Keluar],"&lt;="&amp;'Sisa Stok Barang'!$I$4)</f>
        <v>0</v>
      </c>
      <c r="G100" s="66">
        <f>Table4[[#This Row],[Stok Awal]]+Table4[[#This Row],[Jumlah Masuk]]-Table4[[#This Row],[Jumlah Keluar]]</f>
        <v>1</v>
      </c>
    </row>
    <row r="101" spans="1:7" x14ac:dyDescent="0.2">
      <c r="A101" s="65">
        <f t="shared" si="1"/>
        <v>95</v>
      </c>
      <c r="B101" s="58" t="s">
        <v>185</v>
      </c>
      <c r="C101" s="18" t="s">
        <v>1</v>
      </c>
      <c r="D101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1</v>
      </c>
      <c r="E101" s="3">
        <f>SUMIFS(Table2[Jumlah],Table2[Nama Barang],Table4[[#This Row],[Nama Barang]],Table2[Tanggal Masuk],"&gt;="&amp;'Sisa Stok Barang'!$H$4,Table2[Tanggal Masuk],"&lt;="&amp;'Sisa Stok Barang'!$I$4)</f>
        <v>0</v>
      </c>
      <c r="F101" s="3">
        <f>SUMIFS(Table3[Jumlah],Table3[Nama Barang],Table4[[#This Row],[Nama Barang]],Table3[Tanggal Keluar],"&gt;="&amp;'Sisa Stok Barang'!$H$4,Table3[Tanggal Keluar],"&lt;="&amp;'Sisa Stok Barang'!$I$4)</f>
        <v>0</v>
      </c>
      <c r="G101" s="66">
        <f>Table4[[#This Row],[Stok Awal]]+Table4[[#This Row],[Jumlah Masuk]]-Table4[[#This Row],[Jumlah Keluar]]</f>
        <v>1</v>
      </c>
    </row>
    <row r="102" spans="1:7" x14ac:dyDescent="0.2">
      <c r="A102" s="65">
        <f t="shared" si="1"/>
        <v>96</v>
      </c>
      <c r="B102" s="56" t="s">
        <v>186</v>
      </c>
      <c r="C102" s="18" t="s">
        <v>1</v>
      </c>
      <c r="D102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1</v>
      </c>
      <c r="E102" s="3">
        <f>SUMIFS(Table2[Jumlah],Table2[Nama Barang],Table4[[#This Row],[Nama Barang]],Table2[Tanggal Masuk],"&gt;="&amp;'Sisa Stok Barang'!$H$4,Table2[Tanggal Masuk],"&lt;="&amp;'Sisa Stok Barang'!$I$4)</f>
        <v>0</v>
      </c>
      <c r="F102" s="3">
        <f>SUMIFS(Table3[Jumlah],Table3[Nama Barang],Table4[[#This Row],[Nama Barang]],Table3[Tanggal Keluar],"&gt;="&amp;'Sisa Stok Barang'!$H$4,Table3[Tanggal Keluar],"&lt;="&amp;'Sisa Stok Barang'!$I$4)</f>
        <v>0</v>
      </c>
      <c r="G102" s="66">
        <f>Table4[[#This Row],[Stok Awal]]+Table4[[#This Row],[Jumlah Masuk]]-Table4[[#This Row],[Jumlah Keluar]]</f>
        <v>1</v>
      </c>
    </row>
    <row r="103" spans="1:7" x14ac:dyDescent="0.2">
      <c r="A103" s="65">
        <f t="shared" si="1"/>
        <v>97</v>
      </c>
      <c r="B103" s="58" t="s">
        <v>187</v>
      </c>
      <c r="C103" s="18" t="s">
        <v>1</v>
      </c>
      <c r="D103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1</v>
      </c>
      <c r="E103" s="3">
        <f>SUMIFS(Table2[Jumlah],Table2[Nama Barang],Table4[[#This Row],[Nama Barang]],Table2[Tanggal Masuk],"&gt;="&amp;'Sisa Stok Barang'!$H$4,Table2[Tanggal Masuk],"&lt;="&amp;'Sisa Stok Barang'!$I$4)</f>
        <v>0</v>
      </c>
      <c r="F103" s="3">
        <f>SUMIFS(Table3[Jumlah],Table3[Nama Barang],Table4[[#This Row],[Nama Barang]],Table3[Tanggal Keluar],"&gt;="&amp;'Sisa Stok Barang'!$H$4,Table3[Tanggal Keluar],"&lt;="&amp;'Sisa Stok Barang'!$I$4)</f>
        <v>0</v>
      </c>
      <c r="G103" s="66">
        <f>Table4[[#This Row],[Stok Awal]]+Table4[[#This Row],[Jumlah Masuk]]-Table4[[#This Row],[Jumlah Keluar]]</f>
        <v>1</v>
      </c>
    </row>
    <row r="104" spans="1:7" x14ac:dyDescent="0.2">
      <c r="A104" s="65">
        <f t="shared" si="1"/>
        <v>98</v>
      </c>
      <c r="B104" s="56" t="s">
        <v>188</v>
      </c>
      <c r="C104" s="18" t="s">
        <v>1</v>
      </c>
      <c r="D104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1</v>
      </c>
      <c r="E104" s="3">
        <f>SUMIFS(Table2[Jumlah],Table2[Nama Barang],Table4[[#This Row],[Nama Barang]],Table2[Tanggal Masuk],"&gt;="&amp;'Sisa Stok Barang'!$H$4,Table2[Tanggal Masuk],"&lt;="&amp;'Sisa Stok Barang'!$I$4)</f>
        <v>0</v>
      </c>
      <c r="F104" s="3">
        <f>SUMIFS(Table3[Jumlah],Table3[Nama Barang],Table4[[#This Row],[Nama Barang]],Table3[Tanggal Keluar],"&gt;="&amp;'Sisa Stok Barang'!$H$4,Table3[Tanggal Keluar],"&lt;="&amp;'Sisa Stok Barang'!$I$4)</f>
        <v>0</v>
      </c>
      <c r="G104" s="66">
        <f>Table4[[#This Row],[Stok Awal]]+Table4[[#This Row],[Jumlah Masuk]]-Table4[[#This Row],[Jumlah Keluar]]</f>
        <v>1</v>
      </c>
    </row>
    <row r="105" spans="1:7" x14ac:dyDescent="0.2">
      <c r="A105" s="65">
        <f t="shared" si="1"/>
        <v>99</v>
      </c>
      <c r="B105" s="58" t="s">
        <v>189</v>
      </c>
      <c r="C105" s="18" t="s">
        <v>1</v>
      </c>
      <c r="D105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2</v>
      </c>
      <c r="E105" s="3">
        <f>SUMIFS(Table2[Jumlah],Table2[Nama Barang],Table4[[#This Row],[Nama Barang]],Table2[Tanggal Masuk],"&gt;="&amp;'Sisa Stok Barang'!$H$4,Table2[Tanggal Masuk],"&lt;="&amp;'Sisa Stok Barang'!$I$4)</f>
        <v>0</v>
      </c>
      <c r="F105" s="3">
        <f>SUMIFS(Table3[Jumlah],Table3[Nama Barang],Table4[[#This Row],[Nama Barang]],Table3[Tanggal Keluar],"&gt;="&amp;'Sisa Stok Barang'!$H$4,Table3[Tanggal Keluar],"&lt;="&amp;'Sisa Stok Barang'!$I$4)</f>
        <v>0</v>
      </c>
      <c r="G105" s="66">
        <f>Table4[[#This Row],[Stok Awal]]+Table4[[#This Row],[Jumlah Masuk]]-Table4[[#This Row],[Jumlah Keluar]]</f>
        <v>2</v>
      </c>
    </row>
    <row r="106" spans="1:7" x14ac:dyDescent="0.2">
      <c r="A106" s="65">
        <f t="shared" si="1"/>
        <v>100</v>
      </c>
      <c r="B106" s="56" t="s">
        <v>190</v>
      </c>
      <c r="C106" s="18" t="s">
        <v>1</v>
      </c>
      <c r="D106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2</v>
      </c>
      <c r="E106" s="3">
        <f>SUMIFS(Table2[Jumlah],Table2[Nama Barang],Table4[[#This Row],[Nama Barang]],Table2[Tanggal Masuk],"&gt;="&amp;'Sisa Stok Barang'!$H$4,Table2[Tanggal Masuk],"&lt;="&amp;'Sisa Stok Barang'!$I$4)</f>
        <v>0</v>
      </c>
      <c r="F106" s="3">
        <f>SUMIFS(Table3[Jumlah],Table3[Nama Barang],Table4[[#This Row],[Nama Barang]],Table3[Tanggal Keluar],"&gt;="&amp;'Sisa Stok Barang'!$H$4,Table3[Tanggal Keluar],"&lt;="&amp;'Sisa Stok Barang'!$I$4)</f>
        <v>0</v>
      </c>
      <c r="G106" s="66">
        <f>Table4[[#This Row],[Stok Awal]]+Table4[[#This Row],[Jumlah Masuk]]-Table4[[#This Row],[Jumlah Keluar]]</f>
        <v>2</v>
      </c>
    </row>
    <row r="107" spans="1:7" x14ac:dyDescent="0.2">
      <c r="A107" s="65">
        <f t="shared" si="1"/>
        <v>101</v>
      </c>
      <c r="B107" s="58" t="s">
        <v>191</v>
      </c>
      <c r="C107" s="18" t="s">
        <v>1</v>
      </c>
      <c r="D107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3</v>
      </c>
      <c r="E107" s="3">
        <f>SUMIFS(Table2[Jumlah],Table2[Nama Barang],Table4[[#This Row],[Nama Barang]],Table2[Tanggal Masuk],"&gt;="&amp;'Sisa Stok Barang'!$H$4,Table2[Tanggal Masuk],"&lt;="&amp;'Sisa Stok Barang'!$I$4)</f>
        <v>0</v>
      </c>
      <c r="F107" s="3">
        <f>SUMIFS(Table3[Jumlah],Table3[Nama Barang],Table4[[#This Row],[Nama Barang]],Table3[Tanggal Keluar],"&gt;="&amp;'Sisa Stok Barang'!$H$4,Table3[Tanggal Keluar],"&lt;="&amp;'Sisa Stok Barang'!$I$4)</f>
        <v>0</v>
      </c>
      <c r="G107" s="66">
        <f>Table4[[#This Row],[Stok Awal]]+Table4[[#This Row],[Jumlah Masuk]]-Table4[[#This Row],[Jumlah Keluar]]</f>
        <v>3</v>
      </c>
    </row>
    <row r="108" spans="1:7" x14ac:dyDescent="0.2">
      <c r="A108" s="65">
        <f t="shared" si="1"/>
        <v>102</v>
      </c>
      <c r="B108" s="56" t="s">
        <v>192</v>
      </c>
      <c r="C108" s="18" t="s">
        <v>1</v>
      </c>
      <c r="D108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2</v>
      </c>
      <c r="E108" s="3">
        <f>SUMIFS(Table2[Jumlah],Table2[Nama Barang],Table4[[#This Row],[Nama Barang]],Table2[Tanggal Masuk],"&gt;="&amp;'Sisa Stok Barang'!$H$4,Table2[Tanggal Masuk],"&lt;="&amp;'Sisa Stok Barang'!$I$4)</f>
        <v>0</v>
      </c>
      <c r="F108" s="3">
        <f>SUMIFS(Table3[Jumlah],Table3[Nama Barang],Table4[[#This Row],[Nama Barang]],Table3[Tanggal Keluar],"&gt;="&amp;'Sisa Stok Barang'!$H$4,Table3[Tanggal Keluar],"&lt;="&amp;'Sisa Stok Barang'!$I$4)</f>
        <v>0</v>
      </c>
      <c r="G108" s="66">
        <f>Table4[[#This Row],[Stok Awal]]+Table4[[#This Row],[Jumlah Masuk]]-Table4[[#This Row],[Jumlah Keluar]]</f>
        <v>2</v>
      </c>
    </row>
    <row r="109" spans="1:7" x14ac:dyDescent="0.2">
      <c r="A109" s="65">
        <f t="shared" si="1"/>
        <v>103</v>
      </c>
      <c r="B109" s="58" t="s">
        <v>193</v>
      </c>
      <c r="C109" s="18" t="s">
        <v>1</v>
      </c>
      <c r="D109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3</v>
      </c>
      <c r="E109" s="3">
        <f>SUMIFS(Table2[Jumlah],Table2[Nama Barang],Table4[[#This Row],[Nama Barang]],Table2[Tanggal Masuk],"&gt;="&amp;'Sisa Stok Barang'!$H$4,Table2[Tanggal Masuk],"&lt;="&amp;'Sisa Stok Barang'!$I$4)</f>
        <v>0</v>
      </c>
      <c r="F109" s="3">
        <f>SUMIFS(Table3[Jumlah],Table3[Nama Barang],Table4[[#This Row],[Nama Barang]],Table3[Tanggal Keluar],"&gt;="&amp;'Sisa Stok Barang'!$H$4,Table3[Tanggal Keluar],"&lt;="&amp;'Sisa Stok Barang'!$I$4)</f>
        <v>0</v>
      </c>
      <c r="G109" s="66">
        <f>Table4[[#This Row],[Stok Awal]]+Table4[[#This Row],[Jumlah Masuk]]-Table4[[#This Row],[Jumlah Keluar]]</f>
        <v>3</v>
      </c>
    </row>
    <row r="110" spans="1:7" x14ac:dyDescent="0.2">
      <c r="A110" s="65">
        <f t="shared" si="1"/>
        <v>104</v>
      </c>
      <c r="B110" s="56" t="s">
        <v>194</v>
      </c>
      <c r="C110" s="18" t="s">
        <v>1</v>
      </c>
      <c r="D110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3</v>
      </c>
      <c r="E110" s="3">
        <f>SUMIFS(Table2[Jumlah],Table2[Nama Barang],Table4[[#This Row],[Nama Barang]],Table2[Tanggal Masuk],"&gt;="&amp;'Sisa Stok Barang'!$H$4,Table2[Tanggal Masuk],"&lt;="&amp;'Sisa Stok Barang'!$I$4)</f>
        <v>0</v>
      </c>
      <c r="F110" s="3">
        <f>SUMIFS(Table3[Jumlah],Table3[Nama Barang],Table4[[#This Row],[Nama Barang]],Table3[Tanggal Keluar],"&gt;="&amp;'Sisa Stok Barang'!$H$4,Table3[Tanggal Keluar],"&lt;="&amp;'Sisa Stok Barang'!$I$4)</f>
        <v>0</v>
      </c>
      <c r="G110" s="66">
        <f>Table4[[#This Row],[Stok Awal]]+Table4[[#This Row],[Jumlah Masuk]]-Table4[[#This Row],[Jumlah Keluar]]</f>
        <v>3</v>
      </c>
    </row>
    <row r="111" spans="1:7" x14ac:dyDescent="0.2">
      <c r="A111" s="65">
        <f t="shared" si="1"/>
        <v>105</v>
      </c>
      <c r="B111" s="58" t="s">
        <v>195</v>
      </c>
      <c r="C111" s="18" t="s">
        <v>1</v>
      </c>
      <c r="D111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3</v>
      </c>
      <c r="E111" s="3">
        <f>SUMIFS(Table2[Jumlah],Table2[Nama Barang],Table4[[#This Row],[Nama Barang]],Table2[Tanggal Masuk],"&gt;="&amp;'Sisa Stok Barang'!$H$4,Table2[Tanggal Masuk],"&lt;="&amp;'Sisa Stok Barang'!$I$4)</f>
        <v>0</v>
      </c>
      <c r="F111" s="3">
        <f>SUMIFS(Table3[Jumlah],Table3[Nama Barang],Table4[[#This Row],[Nama Barang]],Table3[Tanggal Keluar],"&gt;="&amp;'Sisa Stok Barang'!$H$4,Table3[Tanggal Keluar],"&lt;="&amp;'Sisa Stok Barang'!$I$4)</f>
        <v>0</v>
      </c>
      <c r="G111" s="66">
        <f>Table4[[#This Row],[Stok Awal]]+Table4[[#This Row],[Jumlah Masuk]]-Table4[[#This Row],[Jumlah Keluar]]</f>
        <v>3</v>
      </c>
    </row>
    <row r="112" spans="1:7" x14ac:dyDescent="0.2">
      <c r="A112" s="65">
        <f t="shared" si="1"/>
        <v>106</v>
      </c>
      <c r="B112" s="56" t="s">
        <v>196</v>
      </c>
      <c r="C112" s="18" t="s">
        <v>1</v>
      </c>
      <c r="D112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3</v>
      </c>
      <c r="E112" s="3">
        <f>SUMIFS(Table2[Jumlah],Table2[Nama Barang],Table4[[#This Row],[Nama Barang]],Table2[Tanggal Masuk],"&gt;="&amp;'Sisa Stok Barang'!$H$4,Table2[Tanggal Masuk],"&lt;="&amp;'Sisa Stok Barang'!$I$4)</f>
        <v>0</v>
      </c>
      <c r="F112" s="3">
        <f>SUMIFS(Table3[Jumlah],Table3[Nama Barang],Table4[[#This Row],[Nama Barang]],Table3[Tanggal Keluar],"&gt;="&amp;'Sisa Stok Barang'!$H$4,Table3[Tanggal Keluar],"&lt;="&amp;'Sisa Stok Barang'!$I$4)</f>
        <v>0</v>
      </c>
      <c r="G112" s="66">
        <f>Table4[[#This Row],[Stok Awal]]+Table4[[#This Row],[Jumlah Masuk]]-Table4[[#This Row],[Jumlah Keluar]]</f>
        <v>3</v>
      </c>
    </row>
    <row r="113" spans="1:7" x14ac:dyDescent="0.2">
      <c r="A113" s="65">
        <f t="shared" si="1"/>
        <v>107</v>
      </c>
      <c r="B113" s="58" t="s">
        <v>101</v>
      </c>
      <c r="C113" s="18" t="s">
        <v>1</v>
      </c>
      <c r="D113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1</v>
      </c>
      <c r="E113" s="3">
        <f>SUMIFS(Table2[Jumlah],Table2[Nama Barang],Table4[[#This Row],[Nama Barang]],Table2[Tanggal Masuk],"&gt;="&amp;'Sisa Stok Barang'!$H$4,Table2[Tanggal Masuk],"&lt;="&amp;'Sisa Stok Barang'!$I$4)</f>
        <v>0</v>
      </c>
      <c r="F113" s="3">
        <f>SUMIFS(Table3[Jumlah],Table3[Nama Barang],Table4[[#This Row],[Nama Barang]],Table3[Tanggal Keluar],"&gt;="&amp;'Sisa Stok Barang'!$H$4,Table3[Tanggal Keluar],"&lt;="&amp;'Sisa Stok Barang'!$I$4)</f>
        <v>0</v>
      </c>
      <c r="G113" s="66">
        <f>Table4[[#This Row],[Stok Awal]]+Table4[[#This Row],[Jumlah Masuk]]-Table4[[#This Row],[Jumlah Keluar]]</f>
        <v>1</v>
      </c>
    </row>
    <row r="114" spans="1:7" x14ac:dyDescent="0.2">
      <c r="A114" s="65">
        <f t="shared" si="1"/>
        <v>108</v>
      </c>
      <c r="B114" s="56" t="s">
        <v>88</v>
      </c>
      <c r="C114" s="18" t="s">
        <v>1</v>
      </c>
      <c r="D114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3</v>
      </c>
      <c r="E114" s="3">
        <f>SUMIFS(Table2[Jumlah],Table2[Nama Barang],Table4[[#This Row],[Nama Barang]],Table2[Tanggal Masuk],"&gt;="&amp;'Sisa Stok Barang'!$H$4,Table2[Tanggal Masuk],"&lt;="&amp;'Sisa Stok Barang'!$I$4)</f>
        <v>0</v>
      </c>
      <c r="F114" s="3">
        <f>SUMIFS(Table3[Jumlah],Table3[Nama Barang],Table4[[#This Row],[Nama Barang]],Table3[Tanggal Keluar],"&gt;="&amp;'Sisa Stok Barang'!$H$4,Table3[Tanggal Keluar],"&lt;="&amp;'Sisa Stok Barang'!$I$4)</f>
        <v>0</v>
      </c>
      <c r="G114" s="66">
        <f>Table4[[#This Row],[Stok Awal]]+Table4[[#This Row],[Jumlah Masuk]]-Table4[[#This Row],[Jumlah Keluar]]</f>
        <v>3</v>
      </c>
    </row>
    <row r="115" spans="1:7" x14ac:dyDescent="0.2">
      <c r="A115" s="65">
        <f t="shared" si="1"/>
        <v>109</v>
      </c>
      <c r="B115" s="58" t="s">
        <v>90</v>
      </c>
      <c r="C115" s="18" t="s">
        <v>1</v>
      </c>
      <c r="D115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1</v>
      </c>
      <c r="E115" s="3">
        <f>SUMIFS(Table2[Jumlah],Table2[Nama Barang],Table4[[#This Row],[Nama Barang]],Table2[Tanggal Masuk],"&gt;="&amp;'Sisa Stok Barang'!$H$4,Table2[Tanggal Masuk],"&lt;="&amp;'Sisa Stok Barang'!$I$4)</f>
        <v>0</v>
      </c>
      <c r="F115" s="3">
        <f>SUMIFS(Table3[Jumlah],Table3[Nama Barang],Table4[[#This Row],[Nama Barang]],Table3[Tanggal Keluar],"&gt;="&amp;'Sisa Stok Barang'!$H$4,Table3[Tanggal Keluar],"&lt;="&amp;'Sisa Stok Barang'!$I$4)</f>
        <v>0</v>
      </c>
      <c r="G115" s="66">
        <f>Table4[[#This Row],[Stok Awal]]+Table4[[#This Row],[Jumlah Masuk]]-Table4[[#This Row],[Jumlah Keluar]]</f>
        <v>1</v>
      </c>
    </row>
    <row r="116" spans="1:7" x14ac:dyDescent="0.2">
      <c r="A116" s="65">
        <f t="shared" si="1"/>
        <v>110</v>
      </c>
      <c r="B116" s="56" t="s">
        <v>91</v>
      </c>
      <c r="C116" s="18" t="s">
        <v>1</v>
      </c>
      <c r="D116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1</v>
      </c>
      <c r="E116" s="3">
        <f>SUMIFS(Table2[Jumlah],Table2[Nama Barang],Table4[[#This Row],[Nama Barang]],Table2[Tanggal Masuk],"&gt;="&amp;'Sisa Stok Barang'!$H$4,Table2[Tanggal Masuk],"&lt;="&amp;'Sisa Stok Barang'!$I$4)</f>
        <v>0</v>
      </c>
      <c r="F116" s="3">
        <f>SUMIFS(Table3[Jumlah],Table3[Nama Barang],Table4[[#This Row],[Nama Barang]],Table3[Tanggal Keluar],"&gt;="&amp;'Sisa Stok Barang'!$H$4,Table3[Tanggal Keluar],"&lt;="&amp;'Sisa Stok Barang'!$I$4)</f>
        <v>0</v>
      </c>
      <c r="G116" s="66">
        <f>Table4[[#This Row],[Stok Awal]]+Table4[[#This Row],[Jumlah Masuk]]-Table4[[#This Row],[Jumlah Keluar]]</f>
        <v>1</v>
      </c>
    </row>
    <row r="117" spans="1:7" x14ac:dyDescent="0.2">
      <c r="A117" s="65">
        <f t="shared" si="1"/>
        <v>111</v>
      </c>
      <c r="B117" s="58" t="s">
        <v>92</v>
      </c>
      <c r="C117" s="18" t="s">
        <v>1</v>
      </c>
      <c r="D117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1</v>
      </c>
      <c r="E117" s="3">
        <f>SUMIFS(Table2[Jumlah],Table2[Nama Barang],Table4[[#This Row],[Nama Barang]],Table2[Tanggal Masuk],"&gt;="&amp;'Sisa Stok Barang'!$H$4,Table2[Tanggal Masuk],"&lt;="&amp;'Sisa Stok Barang'!$I$4)</f>
        <v>0</v>
      </c>
      <c r="F117" s="3">
        <f>SUMIFS(Table3[Jumlah],Table3[Nama Barang],Table4[[#This Row],[Nama Barang]],Table3[Tanggal Keluar],"&gt;="&amp;'Sisa Stok Barang'!$H$4,Table3[Tanggal Keluar],"&lt;="&amp;'Sisa Stok Barang'!$I$4)</f>
        <v>0</v>
      </c>
      <c r="G117" s="66">
        <f>Table4[[#This Row],[Stok Awal]]+Table4[[#This Row],[Jumlah Masuk]]-Table4[[#This Row],[Jumlah Keluar]]</f>
        <v>1</v>
      </c>
    </row>
    <row r="118" spans="1:7" x14ac:dyDescent="0.2">
      <c r="A118" s="65">
        <f t="shared" si="1"/>
        <v>112</v>
      </c>
      <c r="B118" s="56" t="s">
        <v>36</v>
      </c>
      <c r="C118" s="5" t="s">
        <v>1</v>
      </c>
      <c r="D118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5</v>
      </c>
      <c r="E118" s="3">
        <f>SUMIFS(Table2[Jumlah],Table2[Nama Barang],Table4[[#This Row],[Nama Barang]],Table2[Tanggal Masuk],"&gt;="&amp;'Sisa Stok Barang'!$H$4,Table2[Tanggal Masuk],"&lt;="&amp;'Sisa Stok Barang'!$I$4)</f>
        <v>0</v>
      </c>
      <c r="F118" s="3">
        <f>SUMIFS(Table3[Jumlah],Table3[Nama Barang],Table4[[#This Row],[Nama Barang]],Table3[Tanggal Keluar],"&gt;="&amp;'Sisa Stok Barang'!$H$4,Table3[Tanggal Keluar],"&lt;="&amp;'Sisa Stok Barang'!$I$4)</f>
        <v>0</v>
      </c>
      <c r="G118" s="66">
        <f>Table4[[#This Row],[Stok Awal]]+Table4[[#This Row],[Jumlah Masuk]]-Table4[[#This Row],[Jumlah Keluar]]</f>
        <v>5</v>
      </c>
    </row>
    <row r="119" spans="1:7" x14ac:dyDescent="0.2">
      <c r="A119" s="65">
        <f t="shared" si="1"/>
        <v>113</v>
      </c>
      <c r="B119" s="58" t="s">
        <v>37</v>
      </c>
      <c r="C119" s="5" t="s">
        <v>1</v>
      </c>
      <c r="D119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6</v>
      </c>
      <c r="E119" s="3">
        <f>SUMIFS(Table2[Jumlah],Table2[Nama Barang],Table4[[#This Row],[Nama Barang]],Table2[Tanggal Masuk],"&gt;="&amp;'Sisa Stok Barang'!$H$4,Table2[Tanggal Masuk],"&lt;="&amp;'Sisa Stok Barang'!$I$4)</f>
        <v>0</v>
      </c>
      <c r="F119" s="3">
        <f>SUMIFS(Table3[Jumlah],Table3[Nama Barang],Table4[[#This Row],[Nama Barang]],Table3[Tanggal Keluar],"&gt;="&amp;'Sisa Stok Barang'!$H$4,Table3[Tanggal Keluar],"&lt;="&amp;'Sisa Stok Barang'!$I$4)</f>
        <v>0</v>
      </c>
      <c r="G119" s="66">
        <f>Table4[[#This Row],[Stok Awal]]+Table4[[#This Row],[Jumlah Masuk]]-Table4[[#This Row],[Jumlah Keluar]]</f>
        <v>6</v>
      </c>
    </row>
    <row r="120" spans="1:7" x14ac:dyDescent="0.2">
      <c r="A120" s="65">
        <f t="shared" si="1"/>
        <v>114</v>
      </c>
      <c r="B120" s="56" t="s">
        <v>96</v>
      </c>
      <c r="C120" s="18" t="s">
        <v>1</v>
      </c>
      <c r="D120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1</v>
      </c>
      <c r="E120" s="3">
        <f>SUMIFS(Table2[Jumlah],Table2[Nama Barang],Table4[[#This Row],[Nama Barang]],Table2[Tanggal Masuk],"&gt;="&amp;'Sisa Stok Barang'!$H$4,Table2[Tanggal Masuk],"&lt;="&amp;'Sisa Stok Barang'!$I$4)</f>
        <v>0</v>
      </c>
      <c r="F120" s="3">
        <f>SUMIFS(Table3[Jumlah],Table3[Nama Barang],Table4[[#This Row],[Nama Barang]],Table3[Tanggal Keluar],"&gt;="&amp;'Sisa Stok Barang'!$H$4,Table3[Tanggal Keluar],"&lt;="&amp;'Sisa Stok Barang'!$I$4)</f>
        <v>0</v>
      </c>
      <c r="G120" s="66">
        <f>Table4[[#This Row],[Stok Awal]]+Table4[[#This Row],[Jumlah Masuk]]-Table4[[#This Row],[Jumlah Keluar]]</f>
        <v>1</v>
      </c>
    </row>
    <row r="121" spans="1:7" x14ac:dyDescent="0.2">
      <c r="A121" s="65">
        <f t="shared" si="1"/>
        <v>115</v>
      </c>
      <c r="B121" s="58" t="s">
        <v>98</v>
      </c>
      <c r="C121" s="18" t="s">
        <v>1</v>
      </c>
      <c r="D121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4</v>
      </c>
      <c r="E121" s="3">
        <f>SUMIFS(Table2[Jumlah],Table2[Nama Barang],Table4[[#This Row],[Nama Barang]],Table2[Tanggal Masuk],"&gt;="&amp;'Sisa Stok Barang'!$H$4,Table2[Tanggal Masuk],"&lt;="&amp;'Sisa Stok Barang'!$I$4)</f>
        <v>0</v>
      </c>
      <c r="F121" s="3">
        <f>SUMIFS(Table3[Jumlah],Table3[Nama Barang],Table4[[#This Row],[Nama Barang]],Table3[Tanggal Keluar],"&gt;="&amp;'Sisa Stok Barang'!$H$4,Table3[Tanggal Keluar],"&lt;="&amp;'Sisa Stok Barang'!$I$4)</f>
        <v>0</v>
      </c>
      <c r="G121" s="66">
        <f>Table4[[#This Row],[Stok Awal]]+Table4[[#This Row],[Jumlah Masuk]]-Table4[[#This Row],[Jumlah Keluar]]</f>
        <v>4</v>
      </c>
    </row>
    <row r="122" spans="1:7" x14ac:dyDescent="0.2">
      <c r="A122" s="65">
        <f t="shared" si="1"/>
        <v>116</v>
      </c>
      <c r="B122" s="56" t="s">
        <v>99</v>
      </c>
      <c r="C122" s="18" t="s">
        <v>1</v>
      </c>
      <c r="D122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0</v>
      </c>
      <c r="E122" s="3">
        <f>SUMIFS(Table2[Jumlah],Table2[Nama Barang],Table4[[#This Row],[Nama Barang]],Table2[Tanggal Masuk],"&gt;="&amp;'Sisa Stok Barang'!$H$4,Table2[Tanggal Masuk],"&lt;="&amp;'Sisa Stok Barang'!$I$4)</f>
        <v>0</v>
      </c>
      <c r="F122" s="3">
        <f>SUMIFS(Table3[Jumlah],Table3[Nama Barang],Table4[[#This Row],[Nama Barang]],Table3[Tanggal Keluar],"&gt;="&amp;'Sisa Stok Barang'!$H$4,Table3[Tanggal Keluar],"&lt;="&amp;'Sisa Stok Barang'!$I$4)</f>
        <v>0</v>
      </c>
      <c r="G122" s="66">
        <f>Table4[[#This Row],[Stok Awal]]+Table4[[#This Row],[Jumlah Masuk]]-Table4[[#This Row],[Jumlah Keluar]]</f>
        <v>0</v>
      </c>
    </row>
    <row r="123" spans="1:7" x14ac:dyDescent="0.2">
      <c r="A123" s="65">
        <f t="shared" si="1"/>
        <v>117</v>
      </c>
      <c r="B123" s="58" t="s">
        <v>39</v>
      </c>
      <c r="C123" s="5" t="s">
        <v>1</v>
      </c>
      <c r="D123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19</v>
      </c>
      <c r="E123" s="3">
        <f>SUMIFS(Table2[Jumlah],Table2[Nama Barang],Table4[[#This Row],[Nama Barang]],Table2[Tanggal Masuk],"&gt;="&amp;'Sisa Stok Barang'!$H$4,Table2[Tanggal Masuk],"&lt;="&amp;'Sisa Stok Barang'!$I$4)</f>
        <v>0</v>
      </c>
      <c r="F123" s="3">
        <f>SUMIFS(Table3[Jumlah],Table3[Nama Barang],Table4[[#This Row],[Nama Barang]],Table3[Tanggal Keluar],"&gt;="&amp;'Sisa Stok Barang'!$H$4,Table3[Tanggal Keluar],"&lt;="&amp;'Sisa Stok Barang'!$I$4)</f>
        <v>0</v>
      </c>
      <c r="G123" s="66">
        <f>Table4[[#This Row],[Stok Awal]]+Table4[[#This Row],[Jumlah Masuk]]-Table4[[#This Row],[Jumlah Keluar]]</f>
        <v>19</v>
      </c>
    </row>
    <row r="124" spans="1:7" x14ac:dyDescent="0.2">
      <c r="A124" s="65">
        <f t="shared" si="1"/>
        <v>118</v>
      </c>
      <c r="B124" s="56" t="s">
        <v>94</v>
      </c>
      <c r="C124" s="18" t="s">
        <v>1</v>
      </c>
      <c r="D124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2</v>
      </c>
      <c r="E124" s="3">
        <f>SUMIFS(Table2[Jumlah],Table2[Nama Barang],Table4[[#This Row],[Nama Barang]],Table2[Tanggal Masuk],"&gt;="&amp;'Sisa Stok Barang'!$H$4,Table2[Tanggal Masuk],"&lt;="&amp;'Sisa Stok Barang'!$I$4)</f>
        <v>0</v>
      </c>
      <c r="F124" s="3">
        <f>SUMIFS(Table3[Jumlah],Table3[Nama Barang],Table4[[#This Row],[Nama Barang]],Table3[Tanggal Keluar],"&gt;="&amp;'Sisa Stok Barang'!$H$4,Table3[Tanggal Keluar],"&lt;="&amp;'Sisa Stok Barang'!$I$4)</f>
        <v>0</v>
      </c>
      <c r="G124" s="66">
        <f>Table4[[#This Row],[Stok Awal]]+Table4[[#This Row],[Jumlah Masuk]]-Table4[[#This Row],[Jumlah Keluar]]</f>
        <v>2</v>
      </c>
    </row>
    <row r="125" spans="1:7" x14ac:dyDescent="0.2">
      <c r="A125" s="65">
        <f t="shared" si="1"/>
        <v>119</v>
      </c>
      <c r="B125" s="58" t="s">
        <v>97</v>
      </c>
      <c r="C125" s="18" t="s">
        <v>1</v>
      </c>
      <c r="D125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16</v>
      </c>
      <c r="E125" s="3">
        <f>SUMIFS(Table2[Jumlah],Table2[Nama Barang],Table4[[#This Row],[Nama Barang]],Table2[Tanggal Masuk],"&gt;="&amp;'Sisa Stok Barang'!$H$4,Table2[Tanggal Masuk],"&lt;="&amp;'Sisa Stok Barang'!$I$4)</f>
        <v>0</v>
      </c>
      <c r="F125" s="3">
        <f>SUMIFS(Table3[Jumlah],Table3[Nama Barang],Table4[[#This Row],[Nama Barang]],Table3[Tanggal Keluar],"&gt;="&amp;'Sisa Stok Barang'!$H$4,Table3[Tanggal Keluar],"&lt;="&amp;'Sisa Stok Barang'!$I$4)</f>
        <v>0</v>
      </c>
      <c r="G125" s="66">
        <f>Table4[[#This Row],[Stok Awal]]+Table4[[#This Row],[Jumlah Masuk]]-Table4[[#This Row],[Jumlah Keluar]]</f>
        <v>16</v>
      </c>
    </row>
    <row r="126" spans="1:7" x14ac:dyDescent="0.2">
      <c r="A126" s="65">
        <f t="shared" si="1"/>
        <v>120</v>
      </c>
      <c r="B126" s="56" t="s">
        <v>95</v>
      </c>
      <c r="C126" s="18" t="s">
        <v>1</v>
      </c>
      <c r="D126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3</v>
      </c>
      <c r="E126" s="3">
        <f>SUMIFS(Table2[Jumlah],Table2[Nama Barang],Table4[[#This Row],[Nama Barang]],Table2[Tanggal Masuk],"&gt;="&amp;'Sisa Stok Barang'!$H$4,Table2[Tanggal Masuk],"&lt;="&amp;'Sisa Stok Barang'!$I$4)</f>
        <v>0</v>
      </c>
      <c r="F126" s="3">
        <f>SUMIFS(Table3[Jumlah],Table3[Nama Barang],Table4[[#This Row],[Nama Barang]],Table3[Tanggal Keluar],"&gt;="&amp;'Sisa Stok Barang'!$H$4,Table3[Tanggal Keluar],"&lt;="&amp;'Sisa Stok Barang'!$I$4)</f>
        <v>0</v>
      </c>
      <c r="G126" s="66">
        <f>Table4[[#This Row],[Stok Awal]]+Table4[[#This Row],[Jumlah Masuk]]-Table4[[#This Row],[Jumlah Keluar]]</f>
        <v>3</v>
      </c>
    </row>
    <row r="127" spans="1:7" x14ac:dyDescent="0.2">
      <c r="A127" s="65">
        <f t="shared" si="1"/>
        <v>121</v>
      </c>
      <c r="B127" s="58" t="s">
        <v>126</v>
      </c>
      <c r="C127" s="18" t="s">
        <v>1</v>
      </c>
      <c r="D127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2</v>
      </c>
      <c r="E127" s="3">
        <f>SUMIFS(Table2[Jumlah],Table2[Nama Barang],Table4[[#This Row],[Nama Barang]],Table2[Tanggal Masuk],"&gt;="&amp;'Sisa Stok Barang'!$H$4,Table2[Tanggal Masuk],"&lt;="&amp;'Sisa Stok Barang'!$I$4)</f>
        <v>0</v>
      </c>
      <c r="F127" s="3">
        <f>SUMIFS(Table3[Jumlah],Table3[Nama Barang],Table4[[#This Row],[Nama Barang]],Table3[Tanggal Keluar],"&gt;="&amp;'Sisa Stok Barang'!$H$4,Table3[Tanggal Keluar],"&lt;="&amp;'Sisa Stok Barang'!$I$4)</f>
        <v>0</v>
      </c>
      <c r="G127" s="66">
        <f>Table4[[#This Row],[Stok Awal]]+Table4[[#This Row],[Jumlah Masuk]]-Table4[[#This Row],[Jumlah Keluar]]</f>
        <v>2</v>
      </c>
    </row>
    <row r="128" spans="1:7" x14ac:dyDescent="0.2">
      <c r="A128" s="65">
        <f t="shared" si="1"/>
        <v>122</v>
      </c>
      <c r="B128" s="56" t="s">
        <v>102</v>
      </c>
      <c r="C128" s="18" t="s">
        <v>1</v>
      </c>
      <c r="D128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1</v>
      </c>
      <c r="E128" s="3">
        <f>SUMIFS(Table2[Jumlah],Table2[Nama Barang],Table4[[#This Row],[Nama Barang]],Table2[Tanggal Masuk],"&gt;="&amp;'Sisa Stok Barang'!$H$4,Table2[Tanggal Masuk],"&lt;="&amp;'Sisa Stok Barang'!$I$4)</f>
        <v>0</v>
      </c>
      <c r="F128" s="3">
        <f>SUMIFS(Table3[Jumlah],Table3[Nama Barang],Table4[[#This Row],[Nama Barang]],Table3[Tanggal Keluar],"&gt;="&amp;'Sisa Stok Barang'!$H$4,Table3[Tanggal Keluar],"&lt;="&amp;'Sisa Stok Barang'!$I$4)</f>
        <v>0</v>
      </c>
      <c r="G128" s="66">
        <f>Table4[[#This Row],[Stok Awal]]+Table4[[#This Row],[Jumlah Masuk]]-Table4[[#This Row],[Jumlah Keluar]]</f>
        <v>1</v>
      </c>
    </row>
    <row r="129" spans="1:7" x14ac:dyDescent="0.2">
      <c r="A129" s="65">
        <f t="shared" si="1"/>
        <v>123</v>
      </c>
      <c r="B129" s="59" t="s">
        <v>197</v>
      </c>
      <c r="C129" s="18" t="s">
        <v>25</v>
      </c>
      <c r="D129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36</v>
      </c>
      <c r="E129" s="3">
        <f>SUMIFS(Table2[Jumlah],Table2[Nama Barang],Table4[[#This Row],[Nama Barang]],Table2[Tanggal Masuk],"&gt;="&amp;'Sisa Stok Barang'!$H$4,Table2[Tanggal Masuk],"&lt;="&amp;'Sisa Stok Barang'!$I$4)</f>
        <v>0</v>
      </c>
      <c r="F129" s="3">
        <f>SUMIFS(Table3[Jumlah],Table3[Nama Barang],Table4[[#This Row],[Nama Barang]],Table3[Tanggal Keluar],"&gt;="&amp;'Sisa Stok Barang'!$H$4,Table3[Tanggal Keluar],"&lt;="&amp;'Sisa Stok Barang'!$I$4)</f>
        <v>0</v>
      </c>
      <c r="G129" s="66">
        <f>Table4[[#This Row],[Stok Awal]]+Table4[[#This Row],[Jumlah Masuk]]-Table4[[#This Row],[Jumlah Keluar]]</f>
        <v>36</v>
      </c>
    </row>
    <row r="130" spans="1:7" x14ac:dyDescent="0.2">
      <c r="A130" s="65">
        <f t="shared" si="1"/>
        <v>124</v>
      </c>
      <c r="B130" s="57" t="s">
        <v>198</v>
      </c>
      <c r="C130" s="18" t="s">
        <v>25</v>
      </c>
      <c r="D130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9</v>
      </c>
      <c r="E130" s="3">
        <f>SUMIFS(Table2[Jumlah],Table2[Nama Barang],Table4[[#This Row],[Nama Barang]],Table2[Tanggal Masuk],"&gt;="&amp;'Sisa Stok Barang'!$H$4,Table2[Tanggal Masuk],"&lt;="&amp;'Sisa Stok Barang'!$I$4)</f>
        <v>0</v>
      </c>
      <c r="F130" s="3">
        <f>SUMIFS(Table3[Jumlah],Table3[Nama Barang],Table4[[#This Row],[Nama Barang]],Table3[Tanggal Keluar],"&gt;="&amp;'Sisa Stok Barang'!$H$4,Table3[Tanggal Keluar],"&lt;="&amp;'Sisa Stok Barang'!$I$4)</f>
        <v>0</v>
      </c>
      <c r="G130" s="66">
        <f>Table4[[#This Row],[Stok Awal]]+Table4[[#This Row],[Jumlah Masuk]]-Table4[[#This Row],[Jumlah Keluar]]</f>
        <v>9</v>
      </c>
    </row>
    <row r="131" spans="1:7" x14ac:dyDescent="0.2">
      <c r="A131" s="65">
        <f t="shared" si="1"/>
        <v>125</v>
      </c>
      <c r="B131" s="59" t="s">
        <v>199</v>
      </c>
      <c r="C131" s="18" t="s">
        <v>25</v>
      </c>
      <c r="D131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4</v>
      </c>
      <c r="E131" s="3">
        <f>SUMIFS(Table2[Jumlah],Table2[Nama Barang],Table4[[#This Row],[Nama Barang]],Table2[Tanggal Masuk],"&gt;="&amp;'Sisa Stok Barang'!$H$4,Table2[Tanggal Masuk],"&lt;="&amp;'Sisa Stok Barang'!$I$4)</f>
        <v>0</v>
      </c>
      <c r="F131" s="3">
        <f>SUMIFS(Table3[Jumlah],Table3[Nama Barang],Table4[[#This Row],[Nama Barang]],Table3[Tanggal Keluar],"&gt;="&amp;'Sisa Stok Barang'!$H$4,Table3[Tanggal Keluar],"&lt;="&amp;'Sisa Stok Barang'!$I$4)</f>
        <v>0</v>
      </c>
      <c r="G131" s="66">
        <f>Table4[[#This Row],[Stok Awal]]+Table4[[#This Row],[Jumlah Masuk]]-Table4[[#This Row],[Jumlah Keluar]]</f>
        <v>4</v>
      </c>
    </row>
    <row r="132" spans="1:7" x14ac:dyDescent="0.2">
      <c r="A132" s="65">
        <f t="shared" si="1"/>
        <v>126</v>
      </c>
      <c r="B132" s="57" t="s">
        <v>200</v>
      </c>
      <c r="C132" s="18" t="s">
        <v>25</v>
      </c>
      <c r="D132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2</v>
      </c>
      <c r="E132" s="3">
        <f>SUMIFS(Table2[Jumlah],Table2[Nama Barang],Table4[[#This Row],[Nama Barang]],Table2[Tanggal Masuk],"&gt;="&amp;'Sisa Stok Barang'!$H$4,Table2[Tanggal Masuk],"&lt;="&amp;'Sisa Stok Barang'!$I$4)</f>
        <v>0</v>
      </c>
      <c r="F132" s="3">
        <f>SUMIFS(Table3[Jumlah],Table3[Nama Barang],Table4[[#This Row],[Nama Barang]],Table3[Tanggal Keluar],"&gt;="&amp;'Sisa Stok Barang'!$H$4,Table3[Tanggal Keluar],"&lt;="&amp;'Sisa Stok Barang'!$I$4)</f>
        <v>0</v>
      </c>
      <c r="G132" s="66">
        <f>Table4[[#This Row],[Stok Awal]]+Table4[[#This Row],[Jumlah Masuk]]-Table4[[#This Row],[Jumlah Keluar]]</f>
        <v>2</v>
      </c>
    </row>
    <row r="133" spans="1:7" x14ac:dyDescent="0.2">
      <c r="A133" s="65">
        <f t="shared" si="1"/>
        <v>127</v>
      </c>
      <c r="B133" s="59" t="s">
        <v>201</v>
      </c>
      <c r="C133" s="18" t="s">
        <v>25</v>
      </c>
      <c r="D133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7</v>
      </c>
      <c r="E133" s="3">
        <f>SUMIFS(Table2[Jumlah],Table2[Nama Barang],Table4[[#This Row],[Nama Barang]],Table2[Tanggal Masuk],"&gt;="&amp;'Sisa Stok Barang'!$H$4,Table2[Tanggal Masuk],"&lt;="&amp;'Sisa Stok Barang'!$I$4)</f>
        <v>0</v>
      </c>
      <c r="F133" s="3">
        <f>SUMIFS(Table3[Jumlah],Table3[Nama Barang],Table4[[#This Row],[Nama Barang]],Table3[Tanggal Keluar],"&gt;="&amp;'Sisa Stok Barang'!$H$4,Table3[Tanggal Keluar],"&lt;="&amp;'Sisa Stok Barang'!$I$4)</f>
        <v>0</v>
      </c>
      <c r="G133" s="66">
        <f>Table4[[#This Row],[Stok Awal]]+Table4[[#This Row],[Jumlah Masuk]]-Table4[[#This Row],[Jumlah Keluar]]</f>
        <v>7</v>
      </c>
    </row>
    <row r="134" spans="1:7" x14ac:dyDescent="0.2">
      <c r="A134" s="65">
        <f t="shared" si="1"/>
        <v>128</v>
      </c>
      <c r="B134" s="57" t="s">
        <v>202</v>
      </c>
      <c r="C134" s="18" t="s">
        <v>25</v>
      </c>
      <c r="D134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1</v>
      </c>
      <c r="E134" s="3">
        <f>SUMIFS(Table2[Jumlah],Table2[Nama Barang],Table4[[#This Row],[Nama Barang]],Table2[Tanggal Masuk],"&gt;="&amp;'Sisa Stok Barang'!$H$4,Table2[Tanggal Masuk],"&lt;="&amp;'Sisa Stok Barang'!$I$4)</f>
        <v>0</v>
      </c>
      <c r="F134" s="3">
        <f>SUMIFS(Table3[Jumlah],Table3[Nama Barang],Table4[[#This Row],[Nama Barang]],Table3[Tanggal Keluar],"&gt;="&amp;'Sisa Stok Barang'!$H$4,Table3[Tanggal Keluar],"&lt;="&amp;'Sisa Stok Barang'!$I$4)</f>
        <v>0</v>
      </c>
      <c r="G134" s="66">
        <f>Table4[[#This Row],[Stok Awal]]+Table4[[#This Row],[Jumlah Masuk]]-Table4[[#This Row],[Jumlah Keluar]]</f>
        <v>1</v>
      </c>
    </row>
    <row r="135" spans="1:7" x14ac:dyDescent="0.2">
      <c r="A135" s="65">
        <f t="shared" si="1"/>
        <v>129</v>
      </c>
      <c r="B135" s="59" t="s">
        <v>215</v>
      </c>
      <c r="C135" s="18" t="s">
        <v>25</v>
      </c>
      <c r="D135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5</v>
      </c>
      <c r="E135" s="3">
        <f>SUMIFS(Table2[Jumlah],Table2[Nama Barang],Table4[[#This Row],[Nama Barang]],Table2[Tanggal Masuk],"&gt;="&amp;'Sisa Stok Barang'!$H$4,Table2[Tanggal Masuk],"&lt;="&amp;'Sisa Stok Barang'!$I$4)</f>
        <v>0</v>
      </c>
      <c r="F135" s="3">
        <f>SUMIFS(Table3[Jumlah],Table3[Nama Barang],Table4[[#This Row],[Nama Barang]],Table3[Tanggal Keluar],"&gt;="&amp;'Sisa Stok Barang'!$H$4,Table3[Tanggal Keluar],"&lt;="&amp;'Sisa Stok Barang'!$I$4)</f>
        <v>0</v>
      </c>
      <c r="G135" s="66">
        <f>Table4[[#This Row],[Stok Awal]]+Table4[[#This Row],[Jumlah Masuk]]-Table4[[#This Row],[Jumlah Keluar]]</f>
        <v>5</v>
      </c>
    </row>
    <row r="136" spans="1:7" x14ac:dyDescent="0.2">
      <c r="A136" s="65">
        <f t="shared" ref="A136:A178" si="2">ROW()-6</f>
        <v>130</v>
      </c>
      <c r="B136" s="57" t="s">
        <v>203</v>
      </c>
      <c r="C136" s="18" t="s">
        <v>25</v>
      </c>
      <c r="D136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2</v>
      </c>
      <c r="E136" s="3">
        <f>SUMIFS(Table2[Jumlah],Table2[Nama Barang],Table4[[#This Row],[Nama Barang]],Table2[Tanggal Masuk],"&gt;="&amp;'Sisa Stok Barang'!$H$4,Table2[Tanggal Masuk],"&lt;="&amp;'Sisa Stok Barang'!$I$4)</f>
        <v>0</v>
      </c>
      <c r="F136" s="3">
        <f>SUMIFS(Table3[Jumlah],Table3[Nama Barang],Table4[[#This Row],[Nama Barang]],Table3[Tanggal Keluar],"&gt;="&amp;'Sisa Stok Barang'!$H$4,Table3[Tanggal Keluar],"&lt;="&amp;'Sisa Stok Barang'!$I$4)</f>
        <v>0</v>
      </c>
      <c r="G136" s="66">
        <f>Table4[[#This Row],[Stok Awal]]+Table4[[#This Row],[Jumlah Masuk]]-Table4[[#This Row],[Jumlah Keluar]]</f>
        <v>2</v>
      </c>
    </row>
    <row r="137" spans="1:7" x14ac:dyDescent="0.2">
      <c r="A137" s="65">
        <f t="shared" si="2"/>
        <v>131</v>
      </c>
      <c r="B137" s="59" t="s">
        <v>204</v>
      </c>
      <c r="C137" s="18" t="s">
        <v>25</v>
      </c>
      <c r="D137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5</v>
      </c>
      <c r="E137" s="3">
        <f>SUMIFS(Table2[Jumlah],Table2[Nama Barang],Table4[[#This Row],[Nama Barang]],Table2[Tanggal Masuk],"&gt;="&amp;'Sisa Stok Barang'!$H$4,Table2[Tanggal Masuk],"&lt;="&amp;'Sisa Stok Barang'!$I$4)</f>
        <v>0</v>
      </c>
      <c r="F137" s="3">
        <f>SUMIFS(Table3[Jumlah],Table3[Nama Barang],Table4[[#This Row],[Nama Barang]],Table3[Tanggal Keluar],"&gt;="&amp;'Sisa Stok Barang'!$H$4,Table3[Tanggal Keluar],"&lt;="&amp;'Sisa Stok Barang'!$I$4)</f>
        <v>0</v>
      </c>
      <c r="G137" s="66">
        <f>Table4[[#This Row],[Stok Awal]]+Table4[[#This Row],[Jumlah Masuk]]-Table4[[#This Row],[Jumlah Keluar]]</f>
        <v>5</v>
      </c>
    </row>
    <row r="138" spans="1:7" x14ac:dyDescent="0.2">
      <c r="A138" s="65">
        <f t="shared" si="2"/>
        <v>132</v>
      </c>
      <c r="B138" s="57" t="s">
        <v>205</v>
      </c>
      <c r="C138" s="18" t="s">
        <v>25</v>
      </c>
      <c r="D138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5</v>
      </c>
      <c r="E138" s="3">
        <f>SUMIFS(Table2[Jumlah],Table2[Nama Barang],Table4[[#This Row],[Nama Barang]],Table2[Tanggal Masuk],"&gt;="&amp;'Sisa Stok Barang'!$H$4,Table2[Tanggal Masuk],"&lt;="&amp;'Sisa Stok Barang'!$I$4)</f>
        <v>0</v>
      </c>
      <c r="F138" s="3">
        <f>SUMIFS(Table3[Jumlah],Table3[Nama Barang],Table4[[#This Row],[Nama Barang]],Table3[Tanggal Keluar],"&gt;="&amp;'Sisa Stok Barang'!$H$4,Table3[Tanggal Keluar],"&lt;="&amp;'Sisa Stok Barang'!$I$4)</f>
        <v>0</v>
      </c>
      <c r="G138" s="66">
        <f>Table4[[#This Row],[Stok Awal]]+Table4[[#This Row],[Jumlah Masuk]]-Table4[[#This Row],[Jumlah Keluar]]</f>
        <v>5</v>
      </c>
    </row>
    <row r="139" spans="1:7" x14ac:dyDescent="0.2">
      <c r="A139" s="65">
        <f t="shared" si="2"/>
        <v>133</v>
      </c>
      <c r="B139" s="59" t="s">
        <v>206</v>
      </c>
      <c r="C139" s="18" t="s">
        <v>25</v>
      </c>
      <c r="D139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1</v>
      </c>
      <c r="E139" s="3">
        <f>SUMIFS(Table2[Jumlah],Table2[Nama Barang],Table4[[#This Row],[Nama Barang]],Table2[Tanggal Masuk],"&gt;="&amp;'Sisa Stok Barang'!$H$4,Table2[Tanggal Masuk],"&lt;="&amp;'Sisa Stok Barang'!$I$4)</f>
        <v>0</v>
      </c>
      <c r="F139" s="3">
        <f>SUMIFS(Table3[Jumlah],Table3[Nama Barang],Table4[[#This Row],[Nama Barang]],Table3[Tanggal Keluar],"&gt;="&amp;'Sisa Stok Barang'!$H$4,Table3[Tanggal Keluar],"&lt;="&amp;'Sisa Stok Barang'!$I$4)</f>
        <v>0</v>
      </c>
      <c r="G139" s="66">
        <f>Table4[[#This Row],[Stok Awal]]+Table4[[#This Row],[Jumlah Masuk]]-Table4[[#This Row],[Jumlah Keluar]]</f>
        <v>1</v>
      </c>
    </row>
    <row r="140" spans="1:7" x14ac:dyDescent="0.2">
      <c r="A140" s="65">
        <f t="shared" si="2"/>
        <v>134</v>
      </c>
      <c r="B140" s="57" t="s">
        <v>207</v>
      </c>
      <c r="C140" s="18" t="s">
        <v>25</v>
      </c>
      <c r="D140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8</v>
      </c>
      <c r="E140" s="3">
        <f>SUMIFS(Table2[Jumlah],Table2[Nama Barang],Table4[[#This Row],[Nama Barang]],Table2[Tanggal Masuk],"&gt;="&amp;'Sisa Stok Barang'!$H$4,Table2[Tanggal Masuk],"&lt;="&amp;'Sisa Stok Barang'!$I$4)</f>
        <v>0</v>
      </c>
      <c r="F140" s="3">
        <f>SUMIFS(Table3[Jumlah],Table3[Nama Barang],Table4[[#This Row],[Nama Barang]],Table3[Tanggal Keluar],"&gt;="&amp;'Sisa Stok Barang'!$H$4,Table3[Tanggal Keluar],"&lt;="&amp;'Sisa Stok Barang'!$I$4)</f>
        <v>0</v>
      </c>
      <c r="G140" s="66">
        <f>Table4[[#This Row],[Stok Awal]]+Table4[[#This Row],[Jumlah Masuk]]-Table4[[#This Row],[Jumlah Keluar]]</f>
        <v>8</v>
      </c>
    </row>
    <row r="141" spans="1:7" x14ac:dyDescent="0.2">
      <c r="A141" s="65">
        <f t="shared" si="2"/>
        <v>135</v>
      </c>
      <c r="B141" s="59" t="s">
        <v>208</v>
      </c>
      <c r="C141" s="18" t="s">
        <v>25</v>
      </c>
      <c r="D141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5</v>
      </c>
      <c r="E141" s="3">
        <f>SUMIFS(Table2[Jumlah],Table2[Nama Barang],Table4[[#This Row],[Nama Barang]],Table2[Tanggal Masuk],"&gt;="&amp;'Sisa Stok Barang'!$H$4,Table2[Tanggal Masuk],"&lt;="&amp;'Sisa Stok Barang'!$I$4)</f>
        <v>0</v>
      </c>
      <c r="F141" s="3">
        <f>SUMIFS(Table3[Jumlah],Table3[Nama Barang],Table4[[#This Row],[Nama Barang]],Table3[Tanggal Keluar],"&gt;="&amp;'Sisa Stok Barang'!$H$4,Table3[Tanggal Keluar],"&lt;="&amp;'Sisa Stok Barang'!$I$4)</f>
        <v>0</v>
      </c>
      <c r="G141" s="66">
        <f>Table4[[#This Row],[Stok Awal]]+Table4[[#This Row],[Jumlah Masuk]]-Table4[[#This Row],[Jumlah Keluar]]</f>
        <v>5</v>
      </c>
    </row>
    <row r="142" spans="1:7" x14ac:dyDescent="0.2">
      <c r="A142" s="65">
        <f t="shared" si="2"/>
        <v>136</v>
      </c>
      <c r="B142" s="57" t="s">
        <v>209</v>
      </c>
      <c r="C142" s="18" t="s">
        <v>25</v>
      </c>
      <c r="D142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5</v>
      </c>
      <c r="E142" s="3">
        <f>SUMIFS(Table2[Jumlah],Table2[Nama Barang],Table4[[#This Row],[Nama Barang]],Table2[Tanggal Masuk],"&gt;="&amp;'Sisa Stok Barang'!$H$4,Table2[Tanggal Masuk],"&lt;="&amp;'Sisa Stok Barang'!$I$4)</f>
        <v>0</v>
      </c>
      <c r="F142" s="3">
        <f>SUMIFS(Table3[Jumlah],Table3[Nama Barang],Table4[[#This Row],[Nama Barang]],Table3[Tanggal Keluar],"&gt;="&amp;'Sisa Stok Barang'!$H$4,Table3[Tanggal Keluar],"&lt;="&amp;'Sisa Stok Barang'!$I$4)</f>
        <v>0</v>
      </c>
      <c r="G142" s="66">
        <f>Table4[[#This Row],[Stok Awal]]+Table4[[#This Row],[Jumlah Masuk]]-Table4[[#This Row],[Jumlah Keluar]]</f>
        <v>5</v>
      </c>
    </row>
    <row r="143" spans="1:7" x14ac:dyDescent="0.2">
      <c r="A143" s="65">
        <f t="shared" si="2"/>
        <v>137</v>
      </c>
      <c r="B143" s="59" t="s">
        <v>210</v>
      </c>
      <c r="C143" s="18" t="s">
        <v>25</v>
      </c>
      <c r="D143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100</v>
      </c>
      <c r="E143" s="3">
        <f>SUMIFS(Table2[Jumlah],Table2[Nama Barang],Table4[[#This Row],[Nama Barang]],Table2[Tanggal Masuk],"&gt;="&amp;'Sisa Stok Barang'!$H$4,Table2[Tanggal Masuk],"&lt;="&amp;'Sisa Stok Barang'!$I$4)</f>
        <v>0</v>
      </c>
      <c r="F143" s="3">
        <f>SUMIFS(Table3[Jumlah],Table3[Nama Barang],Table4[[#This Row],[Nama Barang]],Table3[Tanggal Keluar],"&gt;="&amp;'Sisa Stok Barang'!$H$4,Table3[Tanggal Keluar],"&lt;="&amp;'Sisa Stok Barang'!$I$4)</f>
        <v>0</v>
      </c>
      <c r="G143" s="66">
        <f>Table4[[#This Row],[Stok Awal]]+Table4[[#This Row],[Jumlah Masuk]]-Table4[[#This Row],[Jumlah Keluar]]</f>
        <v>100</v>
      </c>
    </row>
    <row r="144" spans="1:7" x14ac:dyDescent="0.2">
      <c r="A144" s="65">
        <f t="shared" si="2"/>
        <v>138</v>
      </c>
      <c r="B144" s="57" t="s">
        <v>211</v>
      </c>
      <c r="C144" s="18" t="s">
        <v>25</v>
      </c>
      <c r="D144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0</v>
      </c>
      <c r="E144" s="3">
        <f>SUMIFS(Table2[Jumlah],Table2[Nama Barang],Table4[[#This Row],[Nama Barang]],Table2[Tanggal Masuk],"&gt;="&amp;'Sisa Stok Barang'!$H$4,Table2[Tanggal Masuk],"&lt;="&amp;'Sisa Stok Barang'!$I$4)</f>
        <v>0</v>
      </c>
      <c r="F144" s="3">
        <f>SUMIFS(Table3[Jumlah],Table3[Nama Barang],Table4[[#This Row],[Nama Barang]],Table3[Tanggal Keluar],"&gt;="&amp;'Sisa Stok Barang'!$H$4,Table3[Tanggal Keluar],"&lt;="&amp;'Sisa Stok Barang'!$I$4)</f>
        <v>0</v>
      </c>
      <c r="G144" s="66">
        <f>Table4[[#This Row],[Stok Awal]]+Table4[[#This Row],[Jumlah Masuk]]-Table4[[#This Row],[Jumlah Keluar]]</f>
        <v>0</v>
      </c>
    </row>
    <row r="145" spans="1:7" x14ac:dyDescent="0.2">
      <c r="A145" s="65">
        <f t="shared" si="2"/>
        <v>139</v>
      </c>
      <c r="B145" s="59" t="s">
        <v>212</v>
      </c>
      <c r="C145" s="18" t="s">
        <v>25</v>
      </c>
      <c r="D145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0</v>
      </c>
      <c r="E145" s="3">
        <f>SUMIFS(Table2[Jumlah],Table2[Nama Barang],Table4[[#This Row],[Nama Barang]],Table2[Tanggal Masuk],"&gt;="&amp;'Sisa Stok Barang'!$H$4,Table2[Tanggal Masuk],"&lt;="&amp;'Sisa Stok Barang'!$I$4)</f>
        <v>0</v>
      </c>
      <c r="F145" s="3">
        <f>SUMIFS(Table3[Jumlah],Table3[Nama Barang],Table4[[#This Row],[Nama Barang]],Table3[Tanggal Keluar],"&gt;="&amp;'Sisa Stok Barang'!$H$4,Table3[Tanggal Keluar],"&lt;="&amp;'Sisa Stok Barang'!$I$4)</f>
        <v>0</v>
      </c>
      <c r="G145" s="66">
        <f>Table4[[#This Row],[Stok Awal]]+Table4[[#This Row],[Jumlah Masuk]]-Table4[[#This Row],[Jumlah Keluar]]</f>
        <v>0</v>
      </c>
    </row>
    <row r="146" spans="1:7" x14ac:dyDescent="0.2">
      <c r="A146" s="65">
        <f t="shared" si="2"/>
        <v>140</v>
      </c>
      <c r="B146" s="57" t="s">
        <v>213</v>
      </c>
      <c r="C146" s="18" t="s">
        <v>25</v>
      </c>
      <c r="D146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0</v>
      </c>
      <c r="E146" s="3">
        <f>SUMIFS(Table2[Jumlah],Table2[Nama Barang],Table4[[#This Row],[Nama Barang]],Table2[Tanggal Masuk],"&gt;="&amp;'Sisa Stok Barang'!$H$4,Table2[Tanggal Masuk],"&lt;="&amp;'Sisa Stok Barang'!$I$4)</f>
        <v>0</v>
      </c>
      <c r="F146" s="3">
        <f>SUMIFS(Table3[Jumlah],Table3[Nama Barang],Table4[[#This Row],[Nama Barang]],Table3[Tanggal Keluar],"&gt;="&amp;'Sisa Stok Barang'!$H$4,Table3[Tanggal Keluar],"&lt;="&amp;'Sisa Stok Barang'!$I$4)</f>
        <v>0</v>
      </c>
      <c r="G146" s="66">
        <f>Table4[[#This Row],[Stok Awal]]+Table4[[#This Row],[Jumlah Masuk]]-Table4[[#This Row],[Jumlah Keluar]]</f>
        <v>0</v>
      </c>
    </row>
    <row r="147" spans="1:7" x14ac:dyDescent="0.2">
      <c r="A147" s="65">
        <f t="shared" si="2"/>
        <v>141</v>
      </c>
      <c r="B147" s="59" t="s">
        <v>214</v>
      </c>
      <c r="C147" s="18" t="s">
        <v>25</v>
      </c>
      <c r="D147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0</v>
      </c>
      <c r="E147" s="3">
        <f>SUMIFS(Table2[Jumlah],Table2[Nama Barang],Table4[[#This Row],[Nama Barang]],Table2[Tanggal Masuk],"&gt;="&amp;'Sisa Stok Barang'!$H$4,Table2[Tanggal Masuk],"&lt;="&amp;'Sisa Stok Barang'!$I$4)</f>
        <v>0</v>
      </c>
      <c r="F147" s="3">
        <f>SUMIFS(Table3[Jumlah],Table3[Nama Barang],Table4[[#This Row],[Nama Barang]],Table3[Tanggal Keluar],"&gt;="&amp;'Sisa Stok Barang'!$H$4,Table3[Tanggal Keluar],"&lt;="&amp;'Sisa Stok Barang'!$I$4)</f>
        <v>0</v>
      </c>
      <c r="G147" s="66">
        <f>Table4[[#This Row],[Stok Awal]]+Table4[[#This Row],[Jumlah Masuk]]-Table4[[#This Row],[Jumlah Keluar]]</f>
        <v>0</v>
      </c>
    </row>
    <row r="148" spans="1:7" x14ac:dyDescent="0.2">
      <c r="A148" s="65">
        <f t="shared" si="2"/>
        <v>142</v>
      </c>
      <c r="B148" s="56" t="s">
        <v>133</v>
      </c>
      <c r="C148" s="5" t="s">
        <v>1</v>
      </c>
      <c r="D148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72</v>
      </c>
      <c r="E148" s="3">
        <f>SUMIFS(Table2[Jumlah],Table2[Nama Barang],Table4[[#This Row],[Nama Barang]],Table2[Tanggal Masuk],"&gt;="&amp;'Sisa Stok Barang'!$H$4,Table2[Tanggal Masuk],"&lt;="&amp;'Sisa Stok Barang'!$I$4)</f>
        <v>0</v>
      </c>
      <c r="F148" s="3">
        <f>SUMIFS(Table3[Jumlah],Table3[Nama Barang],Table4[[#This Row],[Nama Barang]],Table3[Tanggal Keluar],"&gt;="&amp;'Sisa Stok Barang'!$H$4,Table3[Tanggal Keluar],"&lt;="&amp;'Sisa Stok Barang'!$I$4)</f>
        <v>0</v>
      </c>
      <c r="G148" s="66">
        <f>Table4[[#This Row],[Stok Awal]]+Table4[[#This Row],[Jumlah Masuk]]-Table4[[#This Row],[Jumlah Keluar]]</f>
        <v>72</v>
      </c>
    </row>
    <row r="149" spans="1:7" ht="28.5" x14ac:dyDescent="0.2">
      <c r="A149" s="65">
        <f t="shared" si="2"/>
        <v>143</v>
      </c>
      <c r="B149" s="58" t="s">
        <v>125</v>
      </c>
      <c r="C149" s="5" t="s">
        <v>1</v>
      </c>
      <c r="D149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0</v>
      </c>
      <c r="E149" s="3">
        <f>SUMIFS(Table2[Jumlah],Table2[Nama Barang],Table4[[#This Row],[Nama Barang]],Table2[Tanggal Masuk],"&gt;="&amp;'Sisa Stok Barang'!$H$4,Table2[Tanggal Masuk],"&lt;="&amp;'Sisa Stok Barang'!$I$4)</f>
        <v>0</v>
      </c>
      <c r="F149" s="3">
        <f>SUMIFS(Table3[Jumlah],Table3[Nama Barang],Table4[[#This Row],[Nama Barang]],Table3[Tanggal Keluar],"&gt;="&amp;'Sisa Stok Barang'!$H$4,Table3[Tanggal Keluar],"&lt;="&amp;'Sisa Stok Barang'!$I$4)</f>
        <v>0</v>
      </c>
      <c r="G149" s="66">
        <f>Table4[[#This Row],[Stok Awal]]+Table4[[#This Row],[Jumlah Masuk]]-Table4[[#This Row],[Jumlah Keluar]]</f>
        <v>0</v>
      </c>
    </row>
    <row r="150" spans="1:7" x14ac:dyDescent="0.2">
      <c r="A150" s="65">
        <f t="shared" si="2"/>
        <v>144</v>
      </c>
      <c r="B150" s="56" t="s">
        <v>127</v>
      </c>
      <c r="C150" s="5" t="s">
        <v>1</v>
      </c>
      <c r="D150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3</v>
      </c>
      <c r="E150" s="3">
        <f>SUMIFS(Table2[Jumlah],Table2[Nama Barang],Table4[[#This Row],[Nama Barang]],Table2[Tanggal Masuk],"&gt;="&amp;'Sisa Stok Barang'!$H$4,Table2[Tanggal Masuk],"&lt;="&amp;'Sisa Stok Barang'!$I$4)</f>
        <v>0</v>
      </c>
      <c r="F150" s="3">
        <f>SUMIFS(Table3[Jumlah],Table3[Nama Barang],Table4[[#This Row],[Nama Barang]],Table3[Tanggal Keluar],"&gt;="&amp;'Sisa Stok Barang'!$H$4,Table3[Tanggal Keluar],"&lt;="&amp;'Sisa Stok Barang'!$I$4)</f>
        <v>0</v>
      </c>
      <c r="G150" s="66">
        <f>Table4[[#This Row],[Stok Awal]]+Table4[[#This Row],[Jumlah Masuk]]-Table4[[#This Row],[Jumlah Keluar]]</f>
        <v>3</v>
      </c>
    </row>
    <row r="151" spans="1:7" x14ac:dyDescent="0.2">
      <c r="A151" s="65">
        <f t="shared" si="2"/>
        <v>145</v>
      </c>
      <c r="B151" s="58" t="s">
        <v>128</v>
      </c>
      <c r="C151" s="5" t="s">
        <v>1</v>
      </c>
      <c r="D151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3</v>
      </c>
      <c r="E151" s="3">
        <f>SUMIFS(Table2[Jumlah],Table2[Nama Barang],Table4[[#This Row],[Nama Barang]],Table2[Tanggal Masuk],"&gt;="&amp;'Sisa Stok Barang'!$H$4,Table2[Tanggal Masuk],"&lt;="&amp;'Sisa Stok Barang'!$I$4)</f>
        <v>0</v>
      </c>
      <c r="F151" s="3">
        <f>SUMIFS(Table3[Jumlah],Table3[Nama Barang],Table4[[#This Row],[Nama Barang]],Table3[Tanggal Keluar],"&gt;="&amp;'Sisa Stok Barang'!$H$4,Table3[Tanggal Keluar],"&lt;="&amp;'Sisa Stok Barang'!$I$4)</f>
        <v>0</v>
      </c>
      <c r="G151" s="66">
        <f>Table4[[#This Row],[Stok Awal]]+Table4[[#This Row],[Jumlah Masuk]]-Table4[[#This Row],[Jumlah Keluar]]</f>
        <v>3</v>
      </c>
    </row>
    <row r="152" spans="1:7" x14ac:dyDescent="0.2">
      <c r="A152" s="65">
        <f t="shared" si="2"/>
        <v>146</v>
      </c>
      <c r="B152" s="56" t="s">
        <v>129</v>
      </c>
      <c r="C152" s="5" t="s">
        <v>1</v>
      </c>
      <c r="D152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4</v>
      </c>
      <c r="E152" s="3">
        <f>SUMIFS(Table2[Jumlah],Table2[Nama Barang],Table4[[#This Row],[Nama Barang]],Table2[Tanggal Masuk],"&gt;="&amp;'Sisa Stok Barang'!$H$4,Table2[Tanggal Masuk],"&lt;="&amp;'Sisa Stok Barang'!$I$4)</f>
        <v>0</v>
      </c>
      <c r="F152" s="3">
        <f>SUMIFS(Table3[Jumlah],Table3[Nama Barang],Table4[[#This Row],[Nama Barang]],Table3[Tanggal Keluar],"&gt;="&amp;'Sisa Stok Barang'!$H$4,Table3[Tanggal Keluar],"&lt;="&amp;'Sisa Stok Barang'!$I$4)</f>
        <v>0</v>
      </c>
      <c r="G152" s="66">
        <f>Table4[[#This Row],[Stok Awal]]+Table4[[#This Row],[Jumlah Masuk]]-Table4[[#This Row],[Jumlah Keluar]]</f>
        <v>4</v>
      </c>
    </row>
    <row r="153" spans="1:7" x14ac:dyDescent="0.2">
      <c r="A153" s="65">
        <f t="shared" si="2"/>
        <v>147</v>
      </c>
      <c r="B153" s="58" t="s">
        <v>130</v>
      </c>
      <c r="C153" s="5" t="s">
        <v>1</v>
      </c>
      <c r="D153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4</v>
      </c>
      <c r="E153" s="3">
        <f>SUMIFS(Table2[Jumlah],Table2[Nama Barang],Table4[[#This Row],[Nama Barang]],Table2[Tanggal Masuk],"&gt;="&amp;'Sisa Stok Barang'!$H$4,Table2[Tanggal Masuk],"&lt;="&amp;'Sisa Stok Barang'!$I$4)</f>
        <v>0</v>
      </c>
      <c r="F153" s="3">
        <f>SUMIFS(Table3[Jumlah],Table3[Nama Barang],Table4[[#This Row],[Nama Barang]],Table3[Tanggal Keluar],"&gt;="&amp;'Sisa Stok Barang'!$H$4,Table3[Tanggal Keluar],"&lt;="&amp;'Sisa Stok Barang'!$I$4)</f>
        <v>0</v>
      </c>
      <c r="G153" s="66">
        <f>Table4[[#This Row],[Stok Awal]]+Table4[[#This Row],[Jumlah Masuk]]-Table4[[#This Row],[Jumlah Keluar]]</f>
        <v>4</v>
      </c>
    </row>
    <row r="154" spans="1:7" x14ac:dyDescent="0.2">
      <c r="A154" s="65">
        <f t="shared" si="2"/>
        <v>148</v>
      </c>
      <c r="B154" s="56" t="s">
        <v>131</v>
      </c>
      <c r="C154" s="5" t="s">
        <v>1</v>
      </c>
      <c r="D154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1</v>
      </c>
      <c r="E154" s="3">
        <f>SUMIFS(Table2[Jumlah],Table2[Nama Barang],Table4[[#This Row],[Nama Barang]],Table2[Tanggal Masuk],"&gt;="&amp;'Sisa Stok Barang'!$H$4,Table2[Tanggal Masuk],"&lt;="&amp;'Sisa Stok Barang'!$I$4)</f>
        <v>0</v>
      </c>
      <c r="F154" s="3">
        <f>SUMIFS(Table3[Jumlah],Table3[Nama Barang],Table4[[#This Row],[Nama Barang]],Table3[Tanggal Keluar],"&gt;="&amp;'Sisa Stok Barang'!$H$4,Table3[Tanggal Keluar],"&lt;="&amp;'Sisa Stok Barang'!$I$4)</f>
        <v>0</v>
      </c>
      <c r="G154" s="66">
        <f>Table4[[#This Row],[Stok Awal]]+Table4[[#This Row],[Jumlah Masuk]]-Table4[[#This Row],[Jumlah Keluar]]</f>
        <v>1</v>
      </c>
    </row>
    <row r="155" spans="1:7" x14ac:dyDescent="0.2">
      <c r="A155" s="65">
        <f t="shared" si="2"/>
        <v>149</v>
      </c>
      <c r="B155" s="58" t="s">
        <v>132</v>
      </c>
      <c r="C155" s="27" t="s">
        <v>1</v>
      </c>
      <c r="D155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6</v>
      </c>
      <c r="E155" s="3">
        <f>SUMIFS(Table2[Jumlah],Table2[Nama Barang],Table4[[#This Row],[Nama Barang]],Table2[Tanggal Masuk],"&gt;="&amp;'Sisa Stok Barang'!$H$4,Table2[Tanggal Masuk],"&lt;="&amp;'Sisa Stok Barang'!$I$4)</f>
        <v>0</v>
      </c>
      <c r="F155" s="3">
        <f>SUMIFS(Table3[Jumlah],Table3[Nama Barang],Table4[[#This Row],[Nama Barang]],Table3[Tanggal Keluar],"&gt;="&amp;'Sisa Stok Barang'!$H$4,Table3[Tanggal Keluar],"&lt;="&amp;'Sisa Stok Barang'!$I$4)</f>
        <v>0</v>
      </c>
      <c r="G155" s="66">
        <f>Table4[[#This Row],[Stok Awal]]+Table4[[#This Row],[Jumlah Masuk]]-Table4[[#This Row],[Jumlah Keluar]]</f>
        <v>6</v>
      </c>
    </row>
    <row r="156" spans="1:7" x14ac:dyDescent="0.2">
      <c r="A156" s="65">
        <f t="shared" si="2"/>
        <v>150</v>
      </c>
      <c r="B156" s="56" t="s">
        <v>110</v>
      </c>
      <c r="C156" s="5" t="s">
        <v>1</v>
      </c>
      <c r="D156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175</v>
      </c>
      <c r="E156" s="3">
        <f>SUMIFS(Table2[Jumlah],Table2[Nama Barang],Table4[[#This Row],[Nama Barang]],Table2[Tanggal Masuk],"&gt;="&amp;'Sisa Stok Barang'!$H$4,Table2[Tanggal Masuk],"&lt;="&amp;'Sisa Stok Barang'!$I$4)</f>
        <v>0</v>
      </c>
      <c r="F156" s="3">
        <f>SUMIFS(Table3[Jumlah],Table3[Nama Barang],Table4[[#This Row],[Nama Barang]],Table3[Tanggal Keluar],"&gt;="&amp;'Sisa Stok Barang'!$H$4,Table3[Tanggal Keluar],"&lt;="&amp;'Sisa Stok Barang'!$I$4)</f>
        <v>0</v>
      </c>
      <c r="G156" s="66">
        <f>Table4[[#This Row],[Stok Awal]]+Table4[[#This Row],[Jumlah Masuk]]-Table4[[#This Row],[Jumlah Keluar]]</f>
        <v>175</v>
      </c>
    </row>
    <row r="157" spans="1:7" x14ac:dyDescent="0.2">
      <c r="A157" s="65">
        <f t="shared" si="2"/>
        <v>151</v>
      </c>
      <c r="B157" s="58" t="s">
        <v>135</v>
      </c>
      <c r="C157" s="5" t="s">
        <v>1</v>
      </c>
      <c r="D157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10</v>
      </c>
      <c r="E157" s="3">
        <f>SUMIFS(Table2[Jumlah],Table2[Nama Barang],Table4[[#This Row],[Nama Barang]],Table2[Tanggal Masuk],"&gt;="&amp;'Sisa Stok Barang'!$H$4,Table2[Tanggal Masuk],"&lt;="&amp;'Sisa Stok Barang'!$I$4)</f>
        <v>0</v>
      </c>
      <c r="F157" s="3">
        <f>SUMIFS(Table3[Jumlah],Table3[Nama Barang],Table4[[#This Row],[Nama Barang]],Table3[Tanggal Keluar],"&gt;="&amp;'Sisa Stok Barang'!$H$4,Table3[Tanggal Keluar],"&lt;="&amp;'Sisa Stok Barang'!$I$4)</f>
        <v>0</v>
      </c>
      <c r="G157" s="66">
        <f>Table4[[#This Row],[Stok Awal]]+Table4[[#This Row],[Jumlah Masuk]]-Table4[[#This Row],[Jumlah Keluar]]</f>
        <v>10</v>
      </c>
    </row>
    <row r="158" spans="1:7" x14ac:dyDescent="0.2">
      <c r="A158" s="65">
        <f t="shared" si="2"/>
        <v>152</v>
      </c>
      <c r="B158" s="56" t="s">
        <v>136</v>
      </c>
      <c r="C158" s="5" t="s">
        <v>1</v>
      </c>
      <c r="D158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51</v>
      </c>
      <c r="E158" s="3">
        <f>SUMIFS(Table2[Jumlah],Table2[Nama Barang],Table4[[#This Row],[Nama Barang]],Table2[Tanggal Masuk],"&gt;="&amp;'Sisa Stok Barang'!$H$4,Table2[Tanggal Masuk],"&lt;="&amp;'Sisa Stok Barang'!$I$4)</f>
        <v>0</v>
      </c>
      <c r="F158" s="3">
        <f>SUMIFS(Table3[Jumlah],Table3[Nama Barang],Table4[[#This Row],[Nama Barang]],Table3[Tanggal Keluar],"&gt;="&amp;'Sisa Stok Barang'!$H$4,Table3[Tanggal Keluar],"&lt;="&amp;'Sisa Stok Barang'!$I$4)</f>
        <v>0</v>
      </c>
      <c r="G158" s="66">
        <f>Table4[[#This Row],[Stok Awal]]+Table4[[#This Row],[Jumlah Masuk]]-Table4[[#This Row],[Jumlah Keluar]]</f>
        <v>51</v>
      </c>
    </row>
    <row r="159" spans="1:7" x14ac:dyDescent="0.2">
      <c r="A159" s="65">
        <f t="shared" si="2"/>
        <v>153</v>
      </c>
      <c r="B159" s="58" t="s">
        <v>137</v>
      </c>
      <c r="C159" s="5" t="s">
        <v>1</v>
      </c>
      <c r="D159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69</v>
      </c>
      <c r="E159" s="3">
        <f>SUMIFS(Table2[Jumlah],Table2[Nama Barang],Table4[[#This Row],[Nama Barang]],Table2[Tanggal Masuk],"&gt;="&amp;'Sisa Stok Barang'!$H$4,Table2[Tanggal Masuk],"&lt;="&amp;'Sisa Stok Barang'!$I$4)</f>
        <v>0</v>
      </c>
      <c r="F159" s="3">
        <f>SUMIFS(Table3[Jumlah],Table3[Nama Barang],Table4[[#This Row],[Nama Barang]],Table3[Tanggal Keluar],"&gt;="&amp;'Sisa Stok Barang'!$H$4,Table3[Tanggal Keluar],"&lt;="&amp;'Sisa Stok Barang'!$I$4)</f>
        <v>0</v>
      </c>
      <c r="G159" s="66">
        <f>Table4[[#This Row],[Stok Awal]]+Table4[[#This Row],[Jumlah Masuk]]-Table4[[#This Row],[Jumlah Keluar]]</f>
        <v>69</v>
      </c>
    </row>
    <row r="160" spans="1:7" x14ac:dyDescent="0.2">
      <c r="A160" s="65">
        <f t="shared" si="2"/>
        <v>154</v>
      </c>
      <c r="B160" s="56" t="s">
        <v>138</v>
      </c>
      <c r="C160" s="5" t="s">
        <v>1</v>
      </c>
      <c r="D160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5</v>
      </c>
      <c r="E160" s="3">
        <f>SUMIFS(Table2[Jumlah],Table2[Nama Barang],Table4[[#This Row],[Nama Barang]],Table2[Tanggal Masuk],"&gt;="&amp;'Sisa Stok Barang'!$H$4,Table2[Tanggal Masuk],"&lt;="&amp;'Sisa Stok Barang'!$I$4)</f>
        <v>0</v>
      </c>
      <c r="F160" s="3">
        <f>SUMIFS(Table3[Jumlah],Table3[Nama Barang],Table4[[#This Row],[Nama Barang]],Table3[Tanggal Keluar],"&gt;="&amp;'Sisa Stok Barang'!$H$4,Table3[Tanggal Keluar],"&lt;="&amp;'Sisa Stok Barang'!$I$4)</f>
        <v>0</v>
      </c>
      <c r="G160" s="66">
        <f>Table4[[#This Row],[Stok Awal]]+Table4[[#This Row],[Jumlah Masuk]]-Table4[[#This Row],[Jumlah Keluar]]</f>
        <v>5</v>
      </c>
    </row>
    <row r="161" spans="1:7" x14ac:dyDescent="0.2">
      <c r="A161" s="65">
        <f t="shared" si="2"/>
        <v>155</v>
      </c>
      <c r="B161" s="58" t="s">
        <v>139</v>
      </c>
      <c r="C161" s="5" t="s">
        <v>1</v>
      </c>
      <c r="D161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5</v>
      </c>
      <c r="E161" s="3">
        <f>SUMIFS(Table2[Jumlah],Table2[Nama Barang],Table4[[#This Row],[Nama Barang]],Table2[Tanggal Masuk],"&gt;="&amp;'Sisa Stok Barang'!$H$4,Table2[Tanggal Masuk],"&lt;="&amp;'Sisa Stok Barang'!$I$4)</f>
        <v>0</v>
      </c>
      <c r="F161" s="3">
        <f>SUMIFS(Table3[Jumlah],Table3[Nama Barang],Table4[[#This Row],[Nama Barang]],Table3[Tanggal Keluar],"&gt;="&amp;'Sisa Stok Barang'!$H$4,Table3[Tanggal Keluar],"&lt;="&amp;'Sisa Stok Barang'!$I$4)</f>
        <v>0</v>
      </c>
      <c r="G161" s="66">
        <f>Table4[[#This Row],[Stok Awal]]+Table4[[#This Row],[Jumlah Masuk]]-Table4[[#This Row],[Jumlah Keluar]]</f>
        <v>5</v>
      </c>
    </row>
    <row r="162" spans="1:7" x14ac:dyDescent="0.2">
      <c r="A162" s="65">
        <f t="shared" si="2"/>
        <v>156</v>
      </c>
      <c r="B162" s="56" t="s">
        <v>140</v>
      </c>
      <c r="C162" s="5" t="s">
        <v>1</v>
      </c>
      <c r="D162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1</v>
      </c>
      <c r="E162" s="3">
        <f>SUMIFS(Table2[Jumlah],Table2[Nama Barang],Table4[[#This Row],[Nama Barang]],Table2[Tanggal Masuk],"&gt;="&amp;'Sisa Stok Barang'!$H$4,Table2[Tanggal Masuk],"&lt;="&amp;'Sisa Stok Barang'!$I$4)</f>
        <v>0</v>
      </c>
      <c r="F162" s="3">
        <f>SUMIFS(Table3[Jumlah],Table3[Nama Barang],Table4[[#This Row],[Nama Barang]],Table3[Tanggal Keluar],"&gt;="&amp;'Sisa Stok Barang'!$H$4,Table3[Tanggal Keluar],"&lt;="&amp;'Sisa Stok Barang'!$I$4)</f>
        <v>0</v>
      </c>
      <c r="G162" s="66">
        <f>Table4[[#This Row],[Stok Awal]]+Table4[[#This Row],[Jumlah Masuk]]-Table4[[#This Row],[Jumlah Keluar]]</f>
        <v>1</v>
      </c>
    </row>
    <row r="163" spans="1:7" x14ac:dyDescent="0.2">
      <c r="A163" s="65">
        <f t="shared" si="2"/>
        <v>157</v>
      </c>
      <c r="B163" s="58" t="s">
        <v>141</v>
      </c>
      <c r="C163" s="5" t="s">
        <v>1</v>
      </c>
      <c r="D163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3</v>
      </c>
      <c r="E163" s="3">
        <f>SUMIFS(Table2[Jumlah],Table2[Nama Barang],Table4[[#This Row],[Nama Barang]],Table2[Tanggal Masuk],"&gt;="&amp;'Sisa Stok Barang'!$H$4,Table2[Tanggal Masuk],"&lt;="&amp;'Sisa Stok Barang'!$I$4)</f>
        <v>0</v>
      </c>
      <c r="F163" s="3">
        <f>SUMIFS(Table3[Jumlah],Table3[Nama Barang],Table4[[#This Row],[Nama Barang]],Table3[Tanggal Keluar],"&gt;="&amp;'Sisa Stok Barang'!$H$4,Table3[Tanggal Keluar],"&lt;="&amp;'Sisa Stok Barang'!$I$4)</f>
        <v>0</v>
      </c>
      <c r="G163" s="66">
        <f>Table4[[#This Row],[Stok Awal]]+Table4[[#This Row],[Jumlah Masuk]]-Table4[[#This Row],[Jumlah Keluar]]</f>
        <v>3</v>
      </c>
    </row>
    <row r="164" spans="1:7" x14ac:dyDescent="0.2">
      <c r="A164" s="65">
        <f t="shared" si="2"/>
        <v>158</v>
      </c>
      <c r="B164" s="56" t="s">
        <v>142</v>
      </c>
      <c r="C164" s="5" t="s">
        <v>1</v>
      </c>
      <c r="D164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14</v>
      </c>
      <c r="E164" s="3">
        <f>SUMIFS(Table2[Jumlah],Table2[Nama Barang],Table4[[#This Row],[Nama Barang]],Table2[Tanggal Masuk],"&gt;="&amp;'Sisa Stok Barang'!$H$4,Table2[Tanggal Masuk],"&lt;="&amp;'Sisa Stok Barang'!$I$4)</f>
        <v>0</v>
      </c>
      <c r="F164" s="3">
        <f>SUMIFS(Table3[Jumlah],Table3[Nama Barang],Table4[[#This Row],[Nama Barang]],Table3[Tanggal Keluar],"&gt;="&amp;'Sisa Stok Barang'!$H$4,Table3[Tanggal Keluar],"&lt;="&amp;'Sisa Stok Barang'!$I$4)</f>
        <v>0</v>
      </c>
      <c r="G164" s="66">
        <f>Table4[[#This Row],[Stok Awal]]+Table4[[#This Row],[Jumlah Masuk]]-Table4[[#This Row],[Jumlah Keluar]]</f>
        <v>14</v>
      </c>
    </row>
    <row r="165" spans="1:7" x14ac:dyDescent="0.2">
      <c r="A165" s="65">
        <f t="shared" si="2"/>
        <v>159</v>
      </c>
      <c r="B165" s="58" t="s">
        <v>143</v>
      </c>
      <c r="C165" s="27" t="s">
        <v>1</v>
      </c>
      <c r="D165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7</v>
      </c>
      <c r="E165" s="3">
        <f>SUMIFS(Table2[Jumlah],Table2[Nama Barang],Table4[[#This Row],[Nama Barang]],Table2[Tanggal Masuk],"&gt;="&amp;'Sisa Stok Barang'!$H$4,Table2[Tanggal Masuk],"&lt;="&amp;'Sisa Stok Barang'!$I$4)</f>
        <v>0</v>
      </c>
      <c r="F165" s="3">
        <f>SUMIFS(Table3[Jumlah],Table3[Nama Barang],Table4[[#This Row],[Nama Barang]],Table3[Tanggal Keluar],"&gt;="&amp;'Sisa Stok Barang'!$H$4,Table3[Tanggal Keluar],"&lt;="&amp;'Sisa Stok Barang'!$I$4)</f>
        <v>0</v>
      </c>
      <c r="G165" s="66">
        <f>Table4[[#This Row],[Stok Awal]]+Table4[[#This Row],[Jumlah Masuk]]-Table4[[#This Row],[Jumlah Keluar]]</f>
        <v>7</v>
      </c>
    </row>
    <row r="166" spans="1:7" x14ac:dyDescent="0.2">
      <c r="A166" s="65">
        <f t="shared" si="2"/>
        <v>160</v>
      </c>
      <c r="B166" s="56" t="s">
        <v>146</v>
      </c>
      <c r="C166" s="5" t="s">
        <v>1</v>
      </c>
      <c r="D166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12</v>
      </c>
      <c r="E166" s="3">
        <f>SUMIFS(Table2[Jumlah],Table2[Nama Barang],Table4[[#This Row],[Nama Barang]],Table2[Tanggal Masuk],"&gt;="&amp;'Sisa Stok Barang'!$H$4,Table2[Tanggal Masuk],"&lt;="&amp;'Sisa Stok Barang'!$I$4)</f>
        <v>0</v>
      </c>
      <c r="F166" s="3">
        <f>SUMIFS(Table3[Jumlah],Table3[Nama Barang],Table4[[#This Row],[Nama Barang]],Table3[Tanggal Keluar],"&gt;="&amp;'Sisa Stok Barang'!$H$4,Table3[Tanggal Keluar],"&lt;="&amp;'Sisa Stok Barang'!$I$4)</f>
        <v>0</v>
      </c>
      <c r="G166" s="66">
        <f>Table4[[#This Row],[Stok Awal]]+Table4[[#This Row],[Jumlah Masuk]]-Table4[[#This Row],[Jumlah Keluar]]</f>
        <v>12</v>
      </c>
    </row>
    <row r="167" spans="1:7" x14ac:dyDescent="0.2">
      <c r="A167" s="65">
        <f t="shared" si="2"/>
        <v>161</v>
      </c>
      <c r="B167" s="58" t="s">
        <v>148</v>
      </c>
      <c r="C167" s="5" t="s">
        <v>151</v>
      </c>
      <c r="D167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5</v>
      </c>
      <c r="E167" s="3">
        <f>SUMIFS(Table2[Jumlah],Table2[Nama Barang],Table4[[#This Row],[Nama Barang]],Table2[Tanggal Masuk],"&gt;="&amp;'Sisa Stok Barang'!$H$4,Table2[Tanggal Masuk],"&lt;="&amp;'Sisa Stok Barang'!$I$4)</f>
        <v>0</v>
      </c>
      <c r="F167" s="3">
        <f>SUMIFS(Table3[Jumlah],Table3[Nama Barang],Table4[[#This Row],[Nama Barang]],Table3[Tanggal Keluar],"&gt;="&amp;'Sisa Stok Barang'!$H$4,Table3[Tanggal Keluar],"&lt;="&amp;'Sisa Stok Barang'!$I$4)</f>
        <v>0</v>
      </c>
      <c r="G167" s="66">
        <f>Table4[[#This Row],[Stok Awal]]+Table4[[#This Row],[Jumlah Masuk]]-Table4[[#This Row],[Jumlah Keluar]]</f>
        <v>5</v>
      </c>
    </row>
    <row r="168" spans="1:7" x14ac:dyDescent="0.2">
      <c r="A168" s="65">
        <f t="shared" si="2"/>
        <v>162</v>
      </c>
      <c r="B168" s="56" t="s">
        <v>149</v>
      </c>
      <c r="C168" s="5" t="s">
        <v>1</v>
      </c>
      <c r="D168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20</v>
      </c>
      <c r="E168" s="3">
        <f>SUMIFS(Table2[Jumlah],Table2[Nama Barang],Table4[[#This Row],[Nama Barang]],Table2[Tanggal Masuk],"&gt;="&amp;'Sisa Stok Barang'!$H$4,Table2[Tanggal Masuk],"&lt;="&amp;'Sisa Stok Barang'!$I$4)</f>
        <v>0</v>
      </c>
      <c r="F168" s="3">
        <f>SUMIFS(Table3[Jumlah],Table3[Nama Barang],Table4[[#This Row],[Nama Barang]],Table3[Tanggal Keluar],"&gt;="&amp;'Sisa Stok Barang'!$H$4,Table3[Tanggal Keluar],"&lt;="&amp;'Sisa Stok Barang'!$I$4)</f>
        <v>0</v>
      </c>
      <c r="G168" s="66">
        <f>Table4[[#This Row],[Stok Awal]]+Table4[[#This Row],[Jumlah Masuk]]-Table4[[#This Row],[Jumlah Keluar]]</f>
        <v>20</v>
      </c>
    </row>
    <row r="169" spans="1:7" x14ac:dyDescent="0.2">
      <c r="A169" s="65">
        <f t="shared" si="2"/>
        <v>163</v>
      </c>
      <c r="B169" s="58" t="s">
        <v>150</v>
      </c>
      <c r="C169" s="5" t="s">
        <v>1</v>
      </c>
      <c r="D169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9</v>
      </c>
      <c r="E169" s="3">
        <f>SUMIFS(Table2[Jumlah],Table2[Nama Barang],Table4[[#This Row],[Nama Barang]],Table2[Tanggal Masuk],"&gt;="&amp;'Sisa Stok Barang'!$H$4,Table2[Tanggal Masuk],"&lt;="&amp;'Sisa Stok Barang'!$I$4)</f>
        <v>0</v>
      </c>
      <c r="F169" s="3">
        <f>SUMIFS(Table3[Jumlah],Table3[Nama Barang],Table4[[#This Row],[Nama Barang]],Table3[Tanggal Keluar],"&gt;="&amp;'Sisa Stok Barang'!$H$4,Table3[Tanggal Keluar],"&lt;="&amp;'Sisa Stok Barang'!$I$4)</f>
        <v>0</v>
      </c>
      <c r="G169" s="66">
        <f>Table4[[#This Row],[Stok Awal]]+Table4[[#This Row],[Jumlah Masuk]]-Table4[[#This Row],[Jumlah Keluar]]</f>
        <v>9</v>
      </c>
    </row>
    <row r="170" spans="1:7" x14ac:dyDescent="0.2">
      <c r="A170" s="65">
        <f t="shared" si="2"/>
        <v>164</v>
      </c>
      <c r="B170" s="56" t="s">
        <v>153</v>
      </c>
      <c r="C170" s="5" t="s">
        <v>1</v>
      </c>
      <c r="D170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3</v>
      </c>
      <c r="E170" s="3">
        <f>SUMIFS(Table2[Jumlah],Table2[Nama Barang],Table4[[#This Row],[Nama Barang]],Table2[Tanggal Masuk],"&gt;="&amp;'Sisa Stok Barang'!$H$4,Table2[Tanggal Masuk],"&lt;="&amp;'Sisa Stok Barang'!$I$4)</f>
        <v>0</v>
      </c>
      <c r="F170" s="3">
        <f>SUMIFS(Table3[Jumlah],Table3[Nama Barang],Table4[[#This Row],[Nama Barang]],Table3[Tanggal Keluar],"&gt;="&amp;'Sisa Stok Barang'!$H$4,Table3[Tanggal Keluar],"&lt;="&amp;'Sisa Stok Barang'!$I$4)</f>
        <v>0</v>
      </c>
      <c r="G170" s="66">
        <f>Table4[[#This Row],[Stok Awal]]+Table4[[#This Row],[Jumlah Masuk]]-Table4[[#This Row],[Jumlah Keluar]]</f>
        <v>3</v>
      </c>
    </row>
    <row r="171" spans="1:7" x14ac:dyDescent="0.2">
      <c r="A171" s="65">
        <f t="shared" si="2"/>
        <v>165</v>
      </c>
      <c r="B171" s="58" t="s">
        <v>155</v>
      </c>
      <c r="C171" s="18" t="s">
        <v>1</v>
      </c>
      <c r="D171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11</v>
      </c>
      <c r="E171" s="3">
        <f>SUMIFS(Table2[Jumlah],Table2[Nama Barang],Table4[[#This Row],[Nama Barang]],Table2[Tanggal Masuk],"&gt;="&amp;'Sisa Stok Barang'!$H$4,Table2[Tanggal Masuk],"&lt;="&amp;'Sisa Stok Barang'!$I$4)</f>
        <v>0</v>
      </c>
      <c r="F171" s="3">
        <f>SUMIFS(Table3[Jumlah],Table3[Nama Barang],Table4[[#This Row],[Nama Barang]],Table3[Tanggal Keluar],"&gt;="&amp;'Sisa Stok Barang'!$H$4,Table3[Tanggal Keluar],"&lt;="&amp;'Sisa Stok Barang'!$I$4)</f>
        <v>0</v>
      </c>
      <c r="G171" s="66">
        <f>Table4[[#This Row],[Stok Awal]]+Table4[[#This Row],[Jumlah Masuk]]-Table4[[#This Row],[Jumlah Keluar]]</f>
        <v>11</v>
      </c>
    </row>
    <row r="172" spans="1:7" x14ac:dyDescent="0.2">
      <c r="A172" s="65">
        <f t="shared" si="2"/>
        <v>166</v>
      </c>
      <c r="B172" s="56" t="s">
        <v>156</v>
      </c>
      <c r="C172" s="18" t="s">
        <v>1</v>
      </c>
      <c r="D172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1</v>
      </c>
      <c r="E172" s="3">
        <f>SUMIFS(Table2[Jumlah],Table2[Nama Barang],Table4[[#This Row],[Nama Barang]],Table2[Tanggal Masuk],"&gt;="&amp;'Sisa Stok Barang'!$H$4,Table2[Tanggal Masuk],"&lt;="&amp;'Sisa Stok Barang'!$I$4)</f>
        <v>0</v>
      </c>
      <c r="F172" s="3">
        <f>SUMIFS(Table3[Jumlah],Table3[Nama Barang],Table4[[#This Row],[Nama Barang]],Table3[Tanggal Keluar],"&gt;="&amp;'Sisa Stok Barang'!$H$4,Table3[Tanggal Keluar],"&lt;="&amp;'Sisa Stok Barang'!$I$4)</f>
        <v>0</v>
      </c>
      <c r="G172" s="66">
        <f>Table4[[#This Row],[Stok Awal]]+Table4[[#This Row],[Jumlah Masuk]]-Table4[[#This Row],[Jumlah Keluar]]</f>
        <v>1</v>
      </c>
    </row>
    <row r="173" spans="1:7" x14ac:dyDescent="0.2">
      <c r="A173" s="65">
        <f t="shared" si="2"/>
        <v>167</v>
      </c>
      <c r="B173" s="58" t="s">
        <v>157</v>
      </c>
      <c r="C173" s="18" t="s">
        <v>1</v>
      </c>
      <c r="D173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2</v>
      </c>
      <c r="E173" s="3">
        <f>SUMIFS(Table2[Jumlah],Table2[Nama Barang],Table4[[#This Row],[Nama Barang]],Table2[Tanggal Masuk],"&gt;="&amp;'Sisa Stok Barang'!$H$4,Table2[Tanggal Masuk],"&lt;="&amp;'Sisa Stok Barang'!$I$4)</f>
        <v>0</v>
      </c>
      <c r="F173" s="3">
        <f>SUMIFS(Table3[Jumlah],Table3[Nama Barang],Table4[[#This Row],[Nama Barang]],Table3[Tanggal Keluar],"&gt;="&amp;'Sisa Stok Barang'!$H$4,Table3[Tanggal Keluar],"&lt;="&amp;'Sisa Stok Barang'!$I$4)</f>
        <v>0</v>
      </c>
      <c r="G173" s="66">
        <f>Table4[[#This Row],[Stok Awal]]+Table4[[#This Row],[Jumlah Masuk]]-Table4[[#This Row],[Jumlah Keluar]]</f>
        <v>2</v>
      </c>
    </row>
    <row r="174" spans="1:7" x14ac:dyDescent="0.2">
      <c r="A174" s="65">
        <f t="shared" si="2"/>
        <v>168</v>
      </c>
      <c r="B174" s="56" t="s">
        <v>158</v>
      </c>
      <c r="C174" s="18" t="s">
        <v>1</v>
      </c>
      <c r="D174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4</v>
      </c>
      <c r="E174" s="3">
        <f>SUMIFS(Table2[Jumlah],Table2[Nama Barang],Table4[[#This Row],[Nama Barang]],Table2[Tanggal Masuk],"&gt;="&amp;'Sisa Stok Barang'!$H$4,Table2[Tanggal Masuk],"&lt;="&amp;'Sisa Stok Barang'!$I$4)</f>
        <v>0</v>
      </c>
      <c r="F174" s="3">
        <f>SUMIFS(Table3[Jumlah],Table3[Nama Barang],Table4[[#This Row],[Nama Barang]],Table3[Tanggal Keluar],"&gt;="&amp;'Sisa Stok Barang'!$H$4,Table3[Tanggal Keluar],"&lt;="&amp;'Sisa Stok Barang'!$I$4)</f>
        <v>0</v>
      </c>
      <c r="G174" s="66">
        <f>Table4[[#This Row],[Stok Awal]]+Table4[[#This Row],[Jumlah Masuk]]-Table4[[#This Row],[Jumlah Keluar]]</f>
        <v>4</v>
      </c>
    </row>
    <row r="175" spans="1:7" x14ac:dyDescent="0.2">
      <c r="A175" s="65">
        <f t="shared" si="2"/>
        <v>169</v>
      </c>
      <c r="B175" s="58" t="s">
        <v>159</v>
      </c>
      <c r="C175" s="18" t="s">
        <v>1</v>
      </c>
      <c r="D175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3</v>
      </c>
      <c r="E175" s="3">
        <f>SUMIFS(Table2[Jumlah],Table2[Nama Barang],Table4[[#This Row],[Nama Barang]],Table2[Tanggal Masuk],"&gt;="&amp;'Sisa Stok Barang'!$H$4,Table2[Tanggal Masuk],"&lt;="&amp;'Sisa Stok Barang'!$I$4)</f>
        <v>0</v>
      </c>
      <c r="F175" s="3">
        <f>SUMIFS(Table3[Jumlah],Table3[Nama Barang],Table4[[#This Row],[Nama Barang]],Table3[Tanggal Keluar],"&gt;="&amp;'Sisa Stok Barang'!$H$4,Table3[Tanggal Keluar],"&lt;="&amp;'Sisa Stok Barang'!$I$4)</f>
        <v>0</v>
      </c>
      <c r="G175" s="66">
        <f>Table4[[#This Row],[Stok Awal]]+Table4[[#This Row],[Jumlah Masuk]]-Table4[[#This Row],[Jumlah Keluar]]</f>
        <v>3</v>
      </c>
    </row>
    <row r="176" spans="1:7" x14ac:dyDescent="0.2">
      <c r="A176" s="65">
        <f t="shared" si="2"/>
        <v>170</v>
      </c>
      <c r="B176" s="56" t="s">
        <v>160</v>
      </c>
      <c r="C176" s="18" t="s">
        <v>1</v>
      </c>
      <c r="D176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2</v>
      </c>
      <c r="E176" s="3">
        <f>SUMIFS(Table2[Jumlah],Table2[Nama Barang],Table4[[#This Row],[Nama Barang]],Table2[Tanggal Masuk],"&gt;="&amp;'Sisa Stok Barang'!$H$4,Table2[Tanggal Masuk],"&lt;="&amp;'Sisa Stok Barang'!$I$4)</f>
        <v>0</v>
      </c>
      <c r="F176" s="3">
        <f>SUMIFS(Table3[Jumlah],Table3[Nama Barang],Table4[[#This Row],[Nama Barang]],Table3[Tanggal Keluar],"&gt;="&amp;'Sisa Stok Barang'!$H$4,Table3[Tanggal Keluar],"&lt;="&amp;'Sisa Stok Barang'!$I$4)</f>
        <v>0</v>
      </c>
      <c r="G176" s="66">
        <f>Table4[[#This Row],[Stok Awal]]+Table4[[#This Row],[Jumlah Masuk]]-Table4[[#This Row],[Jumlah Keluar]]</f>
        <v>2</v>
      </c>
    </row>
    <row r="177" spans="1:7" x14ac:dyDescent="0.2">
      <c r="A177" s="65">
        <f t="shared" si="2"/>
        <v>171</v>
      </c>
      <c r="B177" s="58" t="s">
        <v>161</v>
      </c>
      <c r="C177" s="18" t="s">
        <v>1</v>
      </c>
      <c r="D177" s="3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4</v>
      </c>
      <c r="E177" s="3">
        <f>SUMIFS(Table2[Jumlah],Table2[Nama Barang],Table4[[#This Row],[Nama Barang]],Table2[Tanggal Masuk],"&gt;="&amp;'Sisa Stok Barang'!$H$4,Table2[Tanggal Masuk],"&lt;="&amp;'Sisa Stok Barang'!$I$4)</f>
        <v>0</v>
      </c>
      <c r="F177" s="3">
        <f>SUMIFS(Table3[Jumlah],Table3[Nama Barang],Table4[[#This Row],[Nama Barang]],Table3[Tanggal Keluar],"&gt;="&amp;'Sisa Stok Barang'!$H$4,Table3[Tanggal Keluar],"&lt;="&amp;'Sisa Stok Barang'!$I$4)</f>
        <v>0</v>
      </c>
      <c r="G177" s="66">
        <f>Table4[[#This Row],[Stok Awal]]+Table4[[#This Row],[Jumlah Masuk]]-Table4[[#This Row],[Jumlah Keluar]]</f>
        <v>4</v>
      </c>
    </row>
    <row r="178" spans="1:7" x14ac:dyDescent="0.2">
      <c r="A178" s="67">
        <f t="shared" si="2"/>
        <v>172</v>
      </c>
      <c r="B178" s="68" t="s">
        <v>162</v>
      </c>
      <c r="C178" s="18" t="s">
        <v>1</v>
      </c>
      <c r="D178" s="37">
        <f>SUMIFS(Table1[Stok Awal],Table1[Nama Barang],Table4[[#This Row],[Nama Barang]])+
SUMIFS(Table2[Jumlah],Table2[Nama Barang],Table4[[#This Row],[Nama Barang]],Table2[Tanggal Masuk],"&lt;"&amp;'Sisa Stok Barang'!$H$4)-
SUMIFS(Table3[Jumlah],Table3[Nama Barang],Table4[[#This Row],[Nama Barang]],Table3[Tanggal Keluar],"&lt;"&amp;'Sisa Stok Barang'!$H$4)</f>
        <v>5</v>
      </c>
      <c r="E178" s="37">
        <f>SUMIFS(Table2[Jumlah],Table2[Nama Barang],Table4[[#This Row],[Nama Barang]],Table2[Tanggal Masuk],"&gt;="&amp;'Sisa Stok Barang'!$H$4,Table2[Tanggal Masuk],"&lt;="&amp;'Sisa Stok Barang'!$I$4)</f>
        <v>0</v>
      </c>
      <c r="F178" s="37">
        <f>SUMIFS(Table3[Jumlah],Table3[Nama Barang],Table4[[#This Row],[Nama Barang]],Table3[Tanggal Keluar],"&gt;="&amp;'Sisa Stok Barang'!$H$4,Table3[Tanggal Keluar],"&lt;="&amp;'Sisa Stok Barang'!$I$4)</f>
        <v>0</v>
      </c>
      <c r="G178" s="69">
        <f>Table4[[#This Row],[Stok Awal]]+Table4[[#This Row],[Jumlah Masuk]]-Table4[[#This Row],[Jumlah Keluar]]</f>
        <v>5</v>
      </c>
    </row>
    <row r="179" spans="1:7" x14ac:dyDescent="0.2">
      <c r="A179" s="17"/>
    </row>
    <row r="180" spans="1:7" x14ac:dyDescent="0.2">
      <c r="A180" s="17"/>
    </row>
    <row r="181" spans="1:7" x14ac:dyDescent="0.2">
      <c r="A181" s="17"/>
    </row>
    <row r="182" spans="1:7" x14ac:dyDescent="0.2">
      <c r="A182" s="17"/>
    </row>
    <row r="183" spans="1:7" x14ac:dyDescent="0.2">
      <c r="A183" s="17"/>
    </row>
    <row r="184" spans="1:7" x14ac:dyDescent="0.2">
      <c r="A184" s="17"/>
    </row>
    <row r="185" spans="1:7" x14ac:dyDescent="0.2">
      <c r="A185" s="17"/>
    </row>
    <row r="186" spans="1:7" x14ac:dyDescent="0.2">
      <c r="A186" s="17"/>
    </row>
    <row r="187" spans="1:7" x14ac:dyDescent="0.2">
      <c r="A187" s="17"/>
    </row>
  </sheetData>
  <mergeCells count="1">
    <mergeCell ref="A1:G1"/>
  </mergeCells>
  <conditionalFormatting sqref="G7:G178">
    <cfRule type="cellIs" dxfId="2" priority="3" operator="lessThan">
      <formula>5</formula>
    </cfRule>
    <cfRule type="cellIs" dxfId="1" priority="4" operator="lessThan">
      <formula>15</formula>
    </cfRule>
  </conditionalFormatting>
  <conditionalFormatting sqref="G97:G112">
    <cfRule type="cellIs" dxfId="0" priority="1" operator="lessThan">
      <formula>1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4676300-BBDE-43E8-9010-5EAC60DDB693}">
          <x14:formula1>
            <xm:f>Bantu!$C$3:$C$14</xm:f>
          </x14:formula1>
          <xm:sqref>D3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58F9C-18BE-4AE3-A233-3A95C70D4C8F}">
  <dimension ref="C3:G173"/>
  <sheetViews>
    <sheetView workbookViewId="0">
      <selection activeCell="G4" sqref="G4"/>
    </sheetView>
  </sheetViews>
  <sheetFormatPr defaultRowHeight="15" x14ac:dyDescent="0.25"/>
  <cols>
    <col min="3" max="3" width="9.85546875" bestFit="1" customWidth="1"/>
  </cols>
  <sheetData>
    <row r="3" spans="3:7" x14ac:dyDescent="0.25">
      <c r="C3" t="s">
        <v>216</v>
      </c>
      <c r="G3" t="str" cm="1">
        <f t="array" ref="G3:G173">_xlfn.UNIQUE(Table4[Nama Barang])</f>
        <v>Penggaris Butterfly 30 cm</v>
      </c>
    </row>
    <row r="4" spans="3:7" x14ac:dyDescent="0.25">
      <c r="C4" t="s">
        <v>123</v>
      </c>
      <c r="G4" t="str">
        <v>Lakban Coklat Besar 2 inch (lebar 48mm x 90 yard)</v>
      </c>
    </row>
    <row r="5" spans="3:7" x14ac:dyDescent="0.25">
      <c r="C5" t="s">
        <v>217</v>
      </c>
      <c r="G5" t="str">
        <v>Lakban Hitam Besar 2 inch (lebar 48mm x 90 yard)</v>
      </c>
    </row>
    <row r="6" spans="3:7" x14ac:dyDescent="0.25">
      <c r="C6" t="s">
        <v>218</v>
      </c>
      <c r="G6" t="str">
        <v>Lakban Bening 2 inch (lebar 48mm x 90 yard)</v>
      </c>
    </row>
    <row r="7" spans="3:7" x14ac:dyDescent="0.25">
      <c r="C7" t="s">
        <v>124</v>
      </c>
      <c r="G7" t="str">
        <v>Lakban Bening Daimaru Sedang</v>
      </c>
    </row>
    <row r="8" spans="3:7" x14ac:dyDescent="0.25">
      <c r="C8" t="s">
        <v>219</v>
      </c>
      <c r="G8" t="str">
        <v>Lakban Bening Ukuran Kecil</v>
      </c>
    </row>
    <row r="9" spans="3:7" x14ac:dyDescent="0.25">
      <c r="C9" t="s">
        <v>134</v>
      </c>
      <c r="G9" t="str">
        <v>Double Tip Ukuran Sedang</v>
      </c>
    </row>
    <row r="10" spans="3:7" x14ac:dyDescent="0.25">
      <c r="C10" t="s">
        <v>220</v>
      </c>
      <c r="G10" t="str">
        <v>Double Tim 3M</v>
      </c>
    </row>
    <row r="11" spans="3:7" x14ac:dyDescent="0.25">
      <c r="C11" t="s">
        <v>145</v>
      </c>
      <c r="G11" t="str">
        <v>Label T &amp; J No. 99 1 pack isi 10 pcs</v>
      </c>
    </row>
    <row r="12" spans="3:7" x14ac:dyDescent="0.25">
      <c r="C12" t="s">
        <v>221</v>
      </c>
      <c r="G12" t="str">
        <v>Label T &amp; J No. 103 1 pack isi 10 pcs</v>
      </c>
    </row>
    <row r="13" spans="3:7" x14ac:dyDescent="0.25">
      <c r="C13" t="s">
        <v>154</v>
      </c>
      <c r="G13" t="str">
        <v>Label T &amp; J No. 104 1 pack isi 10 pcs</v>
      </c>
    </row>
    <row r="14" spans="3:7" x14ac:dyDescent="0.25">
      <c r="C14" t="s">
        <v>222</v>
      </c>
      <c r="G14" t="str">
        <v>Label T &amp; J No. 109 1 pack isi 10 pcs</v>
      </c>
    </row>
    <row r="15" spans="3:7" x14ac:dyDescent="0.25">
      <c r="G15" t="str">
        <v>Label T &amp; J No. 112 1 pack isi 10 pcs</v>
      </c>
    </row>
    <row r="16" spans="3:7" x14ac:dyDescent="0.25">
      <c r="G16" t="str">
        <v>Label T &amp; J No. 121 1 pack isi 10 pcs</v>
      </c>
    </row>
    <row r="17" spans="7:7" x14ac:dyDescent="0.25">
      <c r="G17" t="str">
        <v>Label T &amp; J No. 123 1 pack isi 10 pcs</v>
      </c>
    </row>
    <row r="18" spans="7:7" x14ac:dyDescent="0.25">
      <c r="G18" t="str">
        <v>Label T &amp; J No. 124 1 pack isi 10 pcs</v>
      </c>
    </row>
    <row r="19" spans="7:7" x14ac:dyDescent="0.25">
      <c r="G19" t="str">
        <v>Label T &amp; J No. 126 1 pack isi 10 pcs</v>
      </c>
    </row>
    <row r="20" spans="7:7" x14ac:dyDescent="0.25">
      <c r="G20" t="str">
        <v>Baterai Alkalin 1.5V A2 Isi 6</v>
      </c>
    </row>
    <row r="21" spans="7:7" x14ac:dyDescent="0.25">
      <c r="G21" t="str">
        <v>Baterai Alkalin 1.5V A3 Isi 6</v>
      </c>
    </row>
    <row r="22" spans="7:7" x14ac:dyDescent="0.25">
      <c r="G22" t="str">
        <v>Ballpoint Pilot Ball Liner Medium Black 1 pack isi 12 pcs</v>
      </c>
    </row>
    <row r="23" spans="7:7" x14ac:dyDescent="0.25">
      <c r="G23" t="str">
        <v>Ballpoint Pilot Ball Liner Medium Blue 1 pack isi 12 pcs</v>
      </c>
    </row>
    <row r="24" spans="7:7" x14ac:dyDescent="0.25">
      <c r="G24" t="str">
        <v>Ballpoint Zebra Sarasa Clip Black (1.0) 1 pack isi 12 pcs</v>
      </c>
    </row>
    <row r="25" spans="7:7" x14ac:dyDescent="0.25">
      <c r="G25" t="str">
        <v>Ballpoint Zebra Sarasa Clip Black (0,7) 1 pack isi 12 pcs</v>
      </c>
    </row>
    <row r="26" spans="7:7" x14ac:dyDescent="0.25">
      <c r="G26" t="str">
        <v>Ballpoint Zebra Sarasa Clip Black (0.5) 1 pack isi 12 pcs</v>
      </c>
    </row>
    <row r="27" spans="7:7" x14ac:dyDescent="0.25">
      <c r="G27" t="str">
        <v>Pulpen Snowman V5 0.7 Merah</v>
      </c>
    </row>
    <row r="28" spans="7:7" x14ac:dyDescent="0.25">
      <c r="G28" t="str">
        <v>Clear Holder Folio F4 Size Isi 60</v>
      </c>
    </row>
    <row r="29" spans="7:7" x14ac:dyDescent="0.25">
      <c r="G29" t="str">
        <v>Benex Black 2 Rings (75mm) Labela</v>
      </c>
    </row>
    <row r="30" spans="7:7" x14ac:dyDescent="0.25">
      <c r="G30" t="str">
        <v>Sign Here Warna Warni Joyko 1 pack isi 12 pcs</v>
      </c>
    </row>
    <row r="31" spans="7:7" x14ac:dyDescent="0.25">
      <c r="G31" t="str">
        <v>Sign Here Biasa Joyko 1 pack isi 24 pcs</v>
      </c>
    </row>
    <row r="32" spans="7:7" x14ac:dyDescent="0.25">
      <c r="G32" t="str">
        <v>Sticky Notes Kecil (5x5 cm) Pronto 1 pack isi 12 pcs</v>
      </c>
    </row>
    <row r="33" spans="7:7" x14ac:dyDescent="0.25">
      <c r="G33" t="str">
        <v>Sticky Notes Sedang 76 x 51 mm Pronto 1 pack isi 12 pcs</v>
      </c>
    </row>
    <row r="34" spans="7:7" x14ac:dyDescent="0.25">
      <c r="G34" t="str">
        <v>Sticky Notes Besar 76 x 76 mm Pronto 1 pack isi 12 pcs</v>
      </c>
    </row>
    <row r="35" spans="7:7" x14ac:dyDescent="0.25">
      <c r="G35" t="str">
        <v>Kertas A4 (75 gram)</v>
      </c>
    </row>
    <row r="36" spans="7:7" x14ac:dyDescent="0.25">
      <c r="G36" t="str">
        <v>Kertas F4 (75 gram)</v>
      </c>
    </row>
    <row r="37" spans="7:7" x14ac:dyDescent="0.25">
      <c r="G37" t="str">
        <v>Kertas Kop BPJS Kesehatan</v>
      </c>
    </row>
    <row r="38" spans="7:7" x14ac:dyDescent="0.25">
      <c r="G38" t="str">
        <v>Bindex File Jumbo 1034B</v>
      </c>
    </row>
    <row r="39" spans="7:7" x14ac:dyDescent="0.25">
      <c r="G39" t="str">
        <v>Snowman Spidol Permanent Black 1 pack isi 12</v>
      </c>
    </row>
    <row r="40" spans="7:7" x14ac:dyDescent="0.25">
      <c r="G40" t="str">
        <v>Snowman Spidol Papan Tulis BG-12 Black</v>
      </c>
    </row>
    <row r="41" spans="7:7" x14ac:dyDescent="0.25">
      <c r="G41" t="str">
        <v>Snowman Spidol Papan Tulis BG-12 Blue</v>
      </c>
    </row>
    <row r="42" spans="7:7" x14ac:dyDescent="0.25">
      <c r="G42" t="str">
        <v>Snowman Spidol Papan Tulis BG-12 Red</v>
      </c>
    </row>
    <row r="43" spans="7:7" x14ac:dyDescent="0.25">
      <c r="G43" t="str">
        <v>Snowman Spidol ABG - 12 Black</v>
      </c>
    </row>
    <row r="44" spans="7:7" x14ac:dyDescent="0.25">
      <c r="G44" t="str">
        <v>Spidol Besar Snowman 500</v>
      </c>
    </row>
    <row r="45" spans="7:7" x14ac:dyDescent="0.25">
      <c r="G45" t="str">
        <v>Spidol Snowman 450</v>
      </c>
    </row>
    <row r="46" spans="7:7" x14ac:dyDescent="0.25">
      <c r="G46" t="str">
        <v>Refill Snowman V5 0.7 1 pack isi 12 pcs</v>
      </c>
    </row>
    <row r="47" spans="7:7" x14ac:dyDescent="0.25">
      <c r="G47" t="str">
        <v>Stabilo Plan 2,5 - 3,5 MM Red</v>
      </c>
    </row>
    <row r="48" spans="7:7" x14ac:dyDescent="0.25">
      <c r="G48" t="str">
        <v>Gunting Scissors Joyko SC-828</v>
      </c>
    </row>
    <row r="49" spans="7:7" x14ac:dyDescent="0.25">
      <c r="G49" t="str">
        <v>Gunting Scissors Joyko SC-838</v>
      </c>
    </row>
    <row r="50" spans="7:7" x14ac:dyDescent="0.25">
      <c r="G50" t="str">
        <v>Gunting Scissors Joyko SC-848</v>
      </c>
    </row>
    <row r="51" spans="7:7" x14ac:dyDescent="0.25">
      <c r="G51" t="str">
        <v>Set Pen Holder Tempat Alat Tulis Joyko Meja Kantor DS-23</v>
      </c>
    </row>
    <row r="52" spans="7:7" x14ac:dyDescent="0.25">
      <c r="G52" t="str">
        <v>Joyko Tempat Pensil DS-18</v>
      </c>
    </row>
    <row r="53" spans="7:7" x14ac:dyDescent="0.25">
      <c r="G53" t="str">
        <v>Joyko Rak Dokumen DT-25 (3 susun)</v>
      </c>
    </row>
    <row r="54" spans="7:7" x14ac:dyDescent="0.25">
      <c r="G54" t="str">
        <v>Rak Dokumen Ukuran Kertas F4 (2 susun)</v>
      </c>
    </row>
    <row r="55" spans="7:7" x14ac:dyDescent="0.25">
      <c r="G55" t="str">
        <v>Materai 10000 (1 Lembar isi 100 Pcs)</v>
      </c>
    </row>
    <row r="56" spans="7:7" x14ac:dyDescent="0.25">
      <c r="G56" t="str">
        <v>Stapler Kenko HD-10N</v>
      </c>
    </row>
    <row r="57" spans="7:7" x14ac:dyDescent="0.25">
      <c r="G57" t="str">
        <v>Stapler Kenko HD-50N</v>
      </c>
    </row>
    <row r="58" spans="7:7" x14ac:dyDescent="0.25">
      <c r="G58" t="str">
        <v>Isi Staples No.3 - 1 M Fine 1 pack isi 20 box kecil</v>
      </c>
    </row>
    <row r="59" spans="7:7" x14ac:dyDescent="0.25">
      <c r="G59" t="str">
        <v>Isi Staples Kenko No.3-1M 1 pack isi 20 box kecil</v>
      </c>
    </row>
    <row r="60" spans="7:7" x14ac:dyDescent="0.25">
      <c r="G60" t="str">
        <v>Isi Staples Kenko No.10-1M 1 pack isi 20 box kecil</v>
      </c>
    </row>
    <row r="61" spans="7:7" x14ac:dyDescent="0.25">
      <c r="G61" t="str">
        <v>Etona Staples No.10 - 1 M</v>
      </c>
    </row>
    <row r="62" spans="7:7" x14ac:dyDescent="0.25">
      <c r="G62" t="str">
        <v>Alat Pelepas Staples SR 51</v>
      </c>
    </row>
    <row r="63" spans="7:7" x14ac:dyDescent="0.25">
      <c r="G63" t="str">
        <v>Cutter Joyko L-500</v>
      </c>
    </row>
    <row r="64" spans="7:7" x14ac:dyDescent="0.25">
      <c r="G64" t="str">
        <v>Cutter Joyko A-300</v>
      </c>
    </row>
    <row r="65" spans="7:7" x14ac:dyDescent="0.25">
      <c r="G65" t="str">
        <v>Isi Cutter Joyko L-500 1 pack isi 12 pcs</v>
      </c>
    </row>
    <row r="66" spans="7:7" x14ac:dyDescent="0.25">
      <c r="G66" t="str">
        <v>Isi Cutter Joyko A-300 1 pack isi 12 pcs</v>
      </c>
    </row>
    <row r="67" spans="7:7" x14ac:dyDescent="0.25">
      <c r="G67" t="str">
        <v>Paper Clips No. 5 1 pack isi 10 box kecil</v>
      </c>
    </row>
    <row r="68" spans="7:7" x14ac:dyDescent="0.25">
      <c r="G68" t="str">
        <v>Paper Clips No. 3 1 pack isi 10 box kecil</v>
      </c>
    </row>
    <row r="69" spans="7:7" x14ac:dyDescent="0.25">
      <c r="G69" t="str">
        <v>Binder Clips Joyko No. 300 1 dus isi 6 pcs</v>
      </c>
    </row>
    <row r="70" spans="7:7" x14ac:dyDescent="0.25">
      <c r="G70" t="str">
        <v>Binder Clips Joyko No. 260 1 dus isi 12 pcs</v>
      </c>
    </row>
    <row r="71" spans="7:7" x14ac:dyDescent="0.25">
      <c r="G71" t="str">
        <v>Binder Clips Joyko No. 200 1 dus isi 12 Pcs</v>
      </c>
    </row>
    <row r="72" spans="7:7" x14ac:dyDescent="0.25">
      <c r="G72" t="str">
        <v>Binder Clips Joyko No. 155 1 dus isi 12 box kecil</v>
      </c>
    </row>
    <row r="73" spans="7:7" x14ac:dyDescent="0.25">
      <c r="G73" t="str">
        <v>Binder Clips Joyko No. 111 1 dus isi 12 box kecil</v>
      </c>
    </row>
    <row r="74" spans="7:7" x14ac:dyDescent="0.25">
      <c r="G74" t="str">
        <v>Binder Clips Joyko No. 107 1 dus isi 12 box kecil</v>
      </c>
    </row>
    <row r="75" spans="7:7" x14ac:dyDescent="0.25">
      <c r="G75" t="str">
        <v>Binder Clips Joyko No. 105 1 dus isi 12 box kecil</v>
      </c>
    </row>
    <row r="76" spans="7:7" x14ac:dyDescent="0.25">
      <c r="G76" t="str">
        <v>Amplop Coklat BPJS Kesehatan 1 pack isi 10 pcs</v>
      </c>
    </row>
    <row r="77" spans="7:7" x14ac:dyDescent="0.25">
      <c r="G77" t="str">
        <v>Amplop Putih Polos 90 pps</v>
      </c>
    </row>
    <row r="78" spans="7:7" x14ac:dyDescent="0.25">
      <c r="G78" t="str">
        <v>Amplop Putih Polos 110 pps</v>
      </c>
    </row>
    <row r="79" spans="7:7" x14ac:dyDescent="0.25">
      <c r="G79" t="str">
        <v>Amplop Putih Jendela BPJS</v>
      </c>
    </row>
    <row r="80" spans="7:7" x14ac:dyDescent="0.25">
      <c r="G80" t="str">
        <v>Map BPJS Kesehatan 1 pack isi 12 pcs</v>
      </c>
    </row>
    <row r="81" spans="7:7" x14ac:dyDescent="0.25">
      <c r="G81" t="str">
        <v>Map Kancing Coklat Kyoto K.311 1 dus isi 10 pcs</v>
      </c>
    </row>
    <row r="82" spans="7:7" x14ac:dyDescent="0.25">
      <c r="G82" t="str">
        <v>Map Kertas Biola Polos Warna Warni 5002 1 pack isi 50 pcs</v>
      </c>
    </row>
    <row r="83" spans="7:7" x14ac:dyDescent="0.25">
      <c r="G83" t="str">
        <v>Map Plastik Zipper Bag</v>
      </c>
    </row>
    <row r="84" spans="7:7" x14ac:dyDescent="0.25">
      <c r="G84" t="str">
        <v>Map Bening</v>
      </c>
    </row>
    <row r="85" spans="7:7" x14ac:dyDescent="0.25">
      <c r="G85" t="str">
        <v>Buku Berkas Ukuran Besar</v>
      </c>
    </row>
    <row r="86" spans="7:7" x14ac:dyDescent="0.25">
      <c r="G86" t="str">
        <v>Buku Berkas Ukuran Kecil</v>
      </c>
    </row>
    <row r="87" spans="7:7" x14ac:dyDescent="0.25">
      <c r="G87" t="str">
        <v>Bantex</v>
      </c>
    </row>
    <row r="88" spans="7:7" x14ac:dyDescent="0.25">
      <c r="G88" t="str">
        <v>Block Note</v>
      </c>
    </row>
    <row r="89" spans="7:7" x14ac:dyDescent="0.25">
      <c r="G89" t="str">
        <v>Nota Kontan Paperline 25 set (108 x 155 mm)</v>
      </c>
    </row>
    <row r="90" spans="7:7" x14ac:dyDescent="0.25">
      <c r="G90" t="str">
        <v>Nota Kontan Paperline 25 set (160 x 210 mm)</v>
      </c>
    </row>
    <row r="91" spans="7:7" x14ac:dyDescent="0.25">
      <c r="G91" t="str">
        <v>Kwitansi Paperline</v>
      </c>
    </row>
    <row r="92" spans="7:7" x14ac:dyDescent="0.25">
      <c r="G92" t="str">
        <v>Toner HP P1102 85A</v>
      </c>
    </row>
    <row r="93" spans="7:7" x14ac:dyDescent="0.25">
      <c r="G93" t="str">
        <v>Epson L3110/L3210 (003) Magenta (M)</v>
      </c>
    </row>
    <row r="94" spans="7:7" x14ac:dyDescent="0.25">
      <c r="G94" t="str">
        <v>Epson L3110/L3210 (003) Black (K)</v>
      </c>
    </row>
    <row r="95" spans="7:7" x14ac:dyDescent="0.25">
      <c r="G95" t="str">
        <v>Epson L3110/L3210 (003) Cyan ( C )</v>
      </c>
    </row>
    <row r="96" spans="7:7" x14ac:dyDescent="0.25">
      <c r="G96" t="str">
        <v>Epson L3110/L3210 (003) Yellow (Y)</v>
      </c>
    </row>
    <row r="97" spans="7:7" x14ac:dyDescent="0.25">
      <c r="G97" t="str">
        <v>Epson L360 (664) Magenta (M)</v>
      </c>
    </row>
    <row r="98" spans="7:7" x14ac:dyDescent="0.25">
      <c r="G98" t="str">
        <v>Epson L360 (664) Black (K)</v>
      </c>
    </row>
    <row r="99" spans="7:7" x14ac:dyDescent="0.25">
      <c r="G99" t="str">
        <v>Epson L360 (664) Cyan ( C )</v>
      </c>
    </row>
    <row r="100" spans="7:7" x14ac:dyDescent="0.25">
      <c r="G100" t="str">
        <v>Epson L360 (664) Yellow (Y)</v>
      </c>
    </row>
    <row r="101" spans="7:7" x14ac:dyDescent="0.25">
      <c r="G101" t="str">
        <v>Laser Toner Cartridge CF352A Magenta (M)</v>
      </c>
    </row>
    <row r="102" spans="7:7" x14ac:dyDescent="0.25">
      <c r="G102" t="str">
        <v>Laser Toner Cartridge CF352A Black (K)</v>
      </c>
    </row>
    <row r="103" spans="7:7" x14ac:dyDescent="0.25">
      <c r="G103" t="str">
        <v>Laser Toner Cartridge CF352A Cyan ( C )</v>
      </c>
    </row>
    <row r="104" spans="7:7" x14ac:dyDescent="0.25">
      <c r="G104" t="str">
        <v>Laser Toner Cartridge CF352A Yellow (Y)</v>
      </c>
    </row>
    <row r="105" spans="7:7" x14ac:dyDescent="0.25">
      <c r="G105" t="str">
        <v>Laser Toner Cartridge CE 285A Magenta (M)</v>
      </c>
    </row>
    <row r="106" spans="7:7" x14ac:dyDescent="0.25">
      <c r="G106" t="str">
        <v>Laser Toner Cartridge CE 285A Black (K)</v>
      </c>
    </row>
    <row r="107" spans="7:7" x14ac:dyDescent="0.25">
      <c r="G107" t="str">
        <v>Laser Toner Cartridge CE 285A Cyan ( C )</v>
      </c>
    </row>
    <row r="108" spans="7:7" x14ac:dyDescent="0.25">
      <c r="G108" t="str">
        <v>Laser Toner Cartridge CE 285A Yellow (Y)</v>
      </c>
    </row>
    <row r="109" spans="7:7" x14ac:dyDescent="0.25">
      <c r="G109" t="str">
        <v>Artline Stamp Pad Ink</v>
      </c>
    </row>
    <row r="110" spans="7:7" x14ac:dyDescent="0.25">
      <c r="G110" t="str">
        <v>Artline 100</v>
      </c>
    </row>
    <row r="111" spans="7:7" x14ac:dyDescent="0.25">
      <c r="G111" t="str">
        <v>Highlighter Artline Clix Biru</v>
      </c>
    </row>
    <row r="112" spans="7:7" x14ac:dyDescent="0.25">
      <c r="G112" t="str">
        <v>Highlighter Artline Clix Hijau</v>
      </c>
    </row>
    <row r="113" spans="7:7" x14ac:dyDescent="0.25">
      <c r="G113" t="str">
        <v>Highlighter Artline Clix Pink</v>
      </c>
    </row>
    <row r="114" spans="7:7" x14ac:dyDescent="0.25">
      <c r="G114" t="str">
        <v>Highlighter-Kuning (Stabilo Boss Original - Kuning)</v>
      </c>
    </row>
    <row r="115" spans="7:7" x14ac:dyDescent="0.25">
      <c r="G115" t="str">
        <v>Highlighter-Kuning (Stabilo Boss Original - Hijau Muda)</v>
      </c>
    </row>
    <row r="116" spans="7:7" x14ac:dyDescent="0.25">
      <c r="G116" t="str">
        <v>Shiny 8 Band Numberer</v>
      </c>
    </row>
    <row r="117" spans="7:7" x14ac:dyDescent="0.25">
      <c r="G117" t="str">
        <v>SDI Staples No.1213</v>
      </c>
    </row>
    <row r="118" spans="7:7" x14ac:dyDescent="0.25">
      <c r="G118" t="str">
        <v>Handseal Large</v>
      </c>
    </row>
    <row r="119" spans="7:7" x14ac:dyDescent="0.25">
      <c r="G119" t="str">
        <v>Kenko Glue Stick 25 g 1 pack isi 12 pcs</v>
      </c>
    </row>
    <row r="120" spans="7:7" x14ac:dyDescent="0.25">
      <c r="G120" t="str">
        <v>Kenko Spare Blade A - 100 1 box isi 12 pack</v>
      </c>
    </row>
    <row r="121" spans="7:7" x14ac:dyDescent="0.25">
      <c r="G121" t="str">
        <v>Joyko Eraser 526 B40BL</v>
      </c>
    </row>
    <row r="122" spans="7:7" x14ac:dyDescent="0.25">
      <c r="G122" t="str">
        <v>Joyko Date Stamp D - 3</v>
      </c>
    </row>
    <row r="123" spans="7:7" x14ac:dyDescent="0.25">
      <c r="G123" t="str">
        <v>Joyko Heavy Duty Punch no 85</v>
      </c>
    </row>
    <row r="124" spans="7:7" x14ac:dyDescent="0.25">
      <c r="G124" t="str">
        <v>Tape Cassette 24 MM</v>
      </c>
    </row>
    <row r="125" spans="7:7" x14ac:dyDescent="0.25">
      <c r="G125" t="str">
        <v>Concorde Brief Card A4 220 gr/m2 Putih</v>
      </c>
    </row>
    <row r="126" spans="7:7" x14ac:dyDescent="0.25">
      <c r="G126" t="str">
        <v>Concorde Brief Card A4 220 gr/m2 Hijau</v>
      </c>
    </row>
    <row r="127" spans="7:7" x14ac:dyDescent="0.25">
      <c r="G127" t="str">
        <v>Concorde Brief Card A4 220 gr/m2 Biru</v>
      </c>
    </row>
    <row r="128" spans="7:7" x14ac:dyDescent="0.25">
      <c r="G128" t="str">
        <v>Concorde Brief Card A4 220 gr/m2 Merah/Pink</v>
      </c>
    </row>
    <row r="129" spans="7:7" x14ac:dyDescent="0.25">
      <c r="G129" t="str">
        <v>Concorde Brief Card A4 220 gr/m2 Kuning</v>
      </c>
    </row>
    <row r="130" spans="7:7" x14ac:dyDescent="0.25">
      <c r="G130" t="str">
        <v>Concorde Brief Card A4 220 gr/m2 Orange</v>
      </c>
    </row>
    <row r="131" spans="7:7" x14ac:dyDescent="0.25">
      <c r="G131" t="str">
        <v>Concorde Brief Card A4 220 gr/m2 Silver</v>
      </c>
    </row>
    <row r="132" spans="7:7" x14ac:dyDescent="0.25">
      <c r="G132" t="str">
        <v>Concorde Brief Card A4 160 gr/m2 Putih</v>
      </c>
    </row>
    <row r="133" spans="7:7" x14ac:dyDescent="0.25">
      <c r="G133" t="str">
        <v>Concorde Brief Card A4 160 gr/m2 Hijau</v>
      </c>
    </row>
    <row r="134" spans="7:7" x14ac:dyDescent="0.25">
      <c r="G134" t="str">
        <v>Concorde Brief Card A4 160 gr/m2 Biru</v>
      </c>
    </row>
    <row r="135" spans="7:7" x14ac:dyDescent="0.25">
      <c r="G135" t="str">
        <v>Concorde Brief Card A4 160 gr/m2 Merah/Pink</v>
      </c>
    </row>
    <row r="136" spans="7:7" x14ac:dyDescent="0.25">
      <c r="G136" t="str">
        <v>Concorde Brief Card A4 160 gr/m2 Kuning</v>
      </c>
    </row>
    <row r="137" spans="7:7" x14ac:dyDescent="0.25">
      <c r="G137" t="str">
        <v>Concorde Brief Card A4 160 gr/m2 Orange</v>
      </c>
    </row>
    <row r="138" spans="7:7" x14ac:dyDescent="0.25">
      <c r="G138" t="str">
        <v>Concorde Brief Card A4 160 gr/m2 Silver</v>
      </c>
    </row>
    <row r="139" spans="7:7" x14ac:dyDescent="0.25">
      <c r="G139" t="str">
        <v>Concorde Brief Card A4 90 gr/m2 Putih</v>
      </c>
    </row>
    <row r="140" spans="7:7" x14ac:dyDescent="0.25">
      <c r="G140" t="str">
        <v>Concorde Brief Card A4 90 gr/m2 Hijau</v>
      </c>
    </row>
    <row r="141" spans="7:7" x14ac:dyDescent="0.25">
      <c r="G141" t="str">
        <v>Concorde Brief Card A4 90 gr/m2 Biru</v>
      </c>
    </row>
    <row r="142" spans="7:7" x14ac:dyDescent="0.25">
      <c r="G142" t="str">
        <v>Concorde Brief Card A4 90 gr/m2 Merah/Pink</v>
      </c>
    </row>
    <row r="143" spans="7:7" x14ac:dyDescent="0.25">
      <c r="G143" t="str">
        <v>Concorde Brief Card A4 90 gr/m2 Kuning</v>
      </c>
    </row>
    <row r="144" spans="7:7" x14ac:dyDescent="0.25">
      <c r="G144" t="str">
        <v>Baterai LR20 (D Size) 1 pack isi 12</v>
      </c>
    </row>
    <row r="145" spans="7:7" x14ac:dyDescent="0.25">
      <c r="G145" t="str">
        <v>Pulpen 4 warna (merah,biru,hijau,hitam) Joyko BP-213 (0.7 mm)</v>
      </c>
    </row>
    <row r="146" spans="7:7" x14ac:dyDescent="0.25">
      <c r="G146" t="str">
        <v>Joyko Heavy Duty Punch Kecil</v>
      </c>
    </row>
    <row r="147" spans="7:7" x14ac:dyDescent="0.25">
      <c r="G147" t="str">
        <v>Marker Twin Head 0.5mm (hitam)</v>
      </c>
    </row>
    <row r="148" spans="7:7" x14ac:dyDescent="0.25">
      <c r="G148" t="str">
        <v>Marker Twin Head 0.5mm (biru)</v>
      </c>
    </row>
    <row r="149" spans="7:7" x14ac:dyDescent="0.25">
      <c r="G149" t="str">
        <v>Marker Twin Head 0.5mm (merah)</v>
      </c>
    </row>
    <row r="150" spans="7:7" x14ac:dyDescent="0.25">
      <c r="G150" t="str">
        <v>Paper Cutter A3</v>
      </c>
    </row>
    <row r="151" spans="7:7" x14ac:dyDescent="0.25">
      <c r="G151" t="str">
        <v>Map Batik 1 pack isi 12</v>
      </c>
    </row>
    <row r="152" spans="7:7" x14ac:dyDescent="0.25">
      <c r="G152" t="str">
        <v>Ballpoint Zebra Sarasa Clip Biru (0,7) 1 pack isi 12 pcs</v>
      </c>
    </row>
    <row r="153" spans="7:7" x14ac:dyDescent="0.25">
      <c r="G153" t="str">
        <v>Ballpen Hitam Non Gel 0,5 BP-338 1 pack isi 12 pcs</v>
      </c>
    </row>
    <row r="154" spans="7:7" x14ac:dyDescent="0.25">
      <c r="G154" t="str">
        <v>Felix Folder (Map L) 1 pack isi 12</v>
      </c>
    </row>
    <row r="155" spans="7:7" x14ac:dyDescent="0.25">
      <c r="G155" t="str">
        <v>Pensil Faber Castel 2B</v>
      </c>
    </row>
    <row r="156" spans="7:7" x14ac:dyDescent="0.25">
      <c r="G156" t="str">
        <v>Pembatas Buku Besi</v>
      </c>
    </row>
    <row r="157" spans="7:7" x14ac:dyDescent="0.25">
      <c r="G157" t="str">
        <v>Kalkulator 868L</v>
      </c>
    </row>
    <row r="158" spans="7:7" x14ac:dyDescent="0.25">
      <c r="G158" t="str">
        <v>Rautan Serut Putar</v>
      </c>
    </row>
    <row r="159" spans="7:7" x14ac:dyDescent="0.25">
      <c r="G159" t="str">
        <v>Post it Sticky Note 51mm x 38mm</v>
      </c>
    </row>
    <row r="160" spans="7:7" x14ac:dyDescent="0.25">
      <c r="G160" t="str">
        <v>Post it Flags and Page 3m</v>
      </c>
    </row>
    <row r="161" spans="7:7" x14ac:dyDescent="0.25">
      <c r="G161" t="str">
        <v>Baterai R14S 2S 1 pack isi 2</v>
      </c>
    </row>
    <row r="162" spans="7:7" x14ac:dyDescent="0.25">
      <c r="G162" t="str">
        <v>Kertas Flip Chart 60 x 90 isi 25</v>
      </c>
    </row>
    <row r="163" spans="7:7" x14ac:dyDescent="0.25">
      <c r="G163" t="str">
        <v>Penghapus Faber Castel</v>
      </c>
    </row>
    <row r="164" spans="7:7" x14ac:dyDescent="0.25">
      <c r="G164" t="str">
        <v>Corection Tape Roller</v>
      </c>
    </row>
    <row r="165" spans="7:7" x14ac:dyDescent="0.25">
      <c r="G165" t="str">
        <v>Brand Tape Green 3M</v>
      </c>
    </row>
    <row r="166" spans="7:7" x14ac:dyDescent="0.25">
      <c r="G166" t="str">
        <v>Pulpen Semi Gel Pen 0.5mm Black 1 pack isi 12 pcs</v>
      </c>
    </row>
    <row r="167" spans="7:7" x14ac:dyDescent="0.25">
      <c r="G167" t="str">
        <v>Desk Set 9088 Tempat pensil meja</v>
      </c>
    </row>
    <row r="168" spans="7:7" x14ac:dyDescent="0.25">
      <c r="G168" t="str">
        <v>Double Sided Tape Perekat (12mm x 13M)</v>
      </c>
    </row>
    <row r="169" spans="7:7" x14ac:dyDescent="0.25">
      <c r="G169" t="str">
        <v>Double Sided Tape Perekat (24mm x 13M)</v>
      </c>
    </row>
    <row r="170" spans="7:7" x14ac:dyDescent="0.25">
      <c r="G170" t="str">
        <v>Lakban Hitam (23m x 10m)</v>
      </c>
    </row>
    <row r="171" spans="7:7" x14ac:dyDescent="0.25">
      <c r="G171" t="str">
        <v>Lakban Hitam (35 x 10m)</v>
      </c>
    </row>
    <row r="172" spans="7:7" x14ac:dyDescent="0.25">
      <c r="G172" t="str">
        <v>Double Tape Bening Nano Gel (3cm x 3M)</v>
      </c>
    </row>
    <row r="173" spans="7:7" x14ac:dyDescent="0.25">
      <c r="G173" t="str">
        <v>Kertas Coklat Lembaran (90x120)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156E3-19FE-4C76-8B0F-8A68707154F1}">
  <dimension ref="A1:AN179"/>
  <sheetViews>
    <sheetView zoomScale="64" zoomScaleNormal="64" workbookViewId="0">
      <pane ySplit="5" topLeftCell="A6" activePane="bottomLeft" state="frozen"/>
      <selection activeCell="B1" sqref="B1"/>
      <selection pane="bottomLeft" activeCell="F24" sqref="F24"/>
    </sheetView>
  </sheetViews>
  <sheetFormatPr defaultColWidth="9.140625" defaultRowHeight="14.25" x14ac:dyDescent="0.2"/>
  <cols>
    <col min="1" max="1" width="4.85546875" style="17" customWidth="1"/>
    <col min="2" max="2" width="60.5703125" style="1" customWidth="1"/>
    <col min="3" max="3" width="10.42578125" style="1" bestFit="1" customWidth="1"/>
    <col min="4" max="4" width="14.85546875" style="1" bestFit="1" customWidth="1"/>
    <col min="5" max="5" width="11" style="1" bestFit="1" customWidth="1"/>
    <col min="6" max="6" width="14.5703125" style="2" bestFit="1" customWidth="1"/>
    <col min="7" max="7" width="28" style="2" bestFit="1" customWidth="1"/>
    <col min="8" max="8" width="20.7109375" style="12" bestFit="1" customWidth="1"/>
    <col min="9" max="9" width="10.5703125" style="1" customWidth="1"/>
    <col min="10" max="10" width="14.42578125" style="1" customWidth="1"/>
    <col min="11" max="11" width="11" style="1" bestFit="1" customWidth="1"/>
    <col min="12" max="12" width="14.5703125" style="1" bestFit="1" customWidth="1"/>
    <col min="13" max="13" width="28" style="1" bestFit="1" customWidth="1"/>
    <col min="14" max="14" width="20.7109375" style="1" bestFit="1" customWidth="1"/>
    <col min="15" max="15" width="10.42578125" style="1" bestFit="1" customWidth="1"/>
    <col min="16" max="16" width="14.85546875" style="1" bestFit="1" customWidth="1"/>
    <col min="17" max="17" width="11" style="1" bestFit="1" customWidth="1"/>
    <col min="18" max="18" width="14.5703125" style="1" bestFit="1" customWidth="1"/>
    <col min="19" max="19" width="28" style="1" bestFit="1" customWidth="1"/>
    <col min="20" max="20" width="20.7109375" style="1" bestFit="1" customWidth="1"/>
    <col min="21" max="21" width="10.42578125" style="1" bestFit="1" customWidth="1"/>
    <col min="22" max="22" width="14.85546875" style="1" bestFit="1" customWidth="1"/>
    <col min="23" max="23" width="11" style="1" bestFit="1" customWidth="1"/>
    <col min="24" max="24" width="14.5703125" style="1" bestFit="1" customWidth="1"/>
    <col min="25" max="25" width="28" style="1" bestFit="1" customWidth="1"/>
    <col min="26" max="26" width="20.7109375" style="1" bestFit="1" customWidth="1"/>
    <col min="27" max="27" width="10.42578125" style="1" bestFit="1" customWidth="1"/>
    <col min="28" max="28" width="14.85546875" style="1" bestFit="1" customWidth="1"/>
    <col min="29" max="29" width="11" style="1" bestFit="1" customWidth="1"/>
    <col min="30" max="30" width="14.5703125" style="1" bestFit="1" customWidth="1"/>
    <col min="31" max="31" width="28" style="1" bestFit="1" customWidth="1"/>
    <col min="32" max="32" width="20.7109375" style="1" bestFit="1" customWidth="1"/>
    <col min="33" max="33" width="10.42578125" style="1" bestFit="1" customWidth="1"/>
    <col min="34" max="34" width="14.85546875" style="1" bestFit="1" customWidth="1"/>
    <col min="35" max="35" width="11" style="1" bestFit="1" customWidth="1"/>
    <col min="36" max="36" width="14.5703125" style="1" bestFit="1" customWidth="1"/>
    <col min="37" max="37" width="28" style="1" bestFit="1" customWidth="1"/>
    <col min="38" max="38" width="20.7109375" style="1" bestFit="1" customWidth="1"/>
    <col min="39" max="39" width="18.140625" style="1" bestFit="1" customWidth="1"/>
    <col min="40" max="16384" width="9.140625" style="1"/>
  </cols>
  <sheetData>
    <row r="1" spans="1:39" ht="15" x14ac:dyDescent="0.25">
      <c r="A1" s="85" t="s">
        <v>250</v>
      </c>
      <c r="B1" s="85"/>
      <c r="C1" s="85"/>
      <c r="D1" s="85"/>
      <c r="E1" s="4"/>
      <c r="F1" s="4"/>
      <c r="G1" s="4"/>
    </row>
    <row r="2" spans="1:39" ht="15" x14ac:dyDescent="0.25">
      <c r="A2" s="85" t="s">
        <v>2</v>
      </c>
      <c r="B2" s="85"/>
      <c r="C2" s="85"/>
      <c r="D2" s="85"/>
      <c r="E2" s="4"/>
      <c r="F2" s="4"/>
      <c r="G2" s="4"/>
    </row>
    <row r="3" spans="1:39" ht="15" x14ac:dyDescent="0.25">
      <c r="A3" s="4"/>
      <c r="B3" s="4"/>
      <c r="C3" s="4"/>
      <c r="D3" s="4"/>
      <c r="E3" s="4"/>
      <c r="F3" s="4"/>
      <c r="G3" s="4"/>
    </row>
    <row r="4" spans="1:39" ht="18.75" customHeight="1" x14ac:dyDescent="0.2">
      <c r="C4" s="84" t="s">
        <v>248</v>
      </c>
      <c r="D4" s="84"/>
      <c r="E4" s="84"/>
      <c r="F4" s="84"/>
      <c r="G4" s="84"/>
      <c r="H4" s="84"/>
      <c r="I4" s="84" t="s">
        <v>249</v>
      </c>
      <c r="J4" s="84"/>
      <c r="K4" s="84"/>
      <c r="L4" s="84"/>
      <c r="M4" s="84"/>
      <c r="N4" s="84"/>
      <c r="O4" s="84" t="s">
        <v>134</v>
      </c>
      <c r="P4" s="84"/>
      <c r="Q4" s="84"/>
      <c r="R4" s="84"/>
      <c r="S4" s="84"/>
      <c r="T4" s="84"/>
      <c r="U4" s="84" t="s">
        <v>145</v>
      </c>
      <c r="V4" s="84"/>
      <c r="W4" s="84"/>
      <c r="X4" s="84"/>
      <c r="Y4" s="84"/>
      <c r="Z4" s="84"/>
      <c r="AA4" s="84" t="s">
        <v>154</v>
      </c>
      <c r="AB4" s="84"/>
      <c r="AC4" s="84"/>
      <c r="AD4" s="84"/>
      <c r="AE4" s="84"/>
      <c r="AF4" s="84"/>
      <c r="AG4" s="84" t="s">
        <v>164</v>
      </c>
      <c r="AH4" s="84"/>
      <c r="AI4" s="84"/>
      <c r="AJ4" s="84"/>
      <c r="AK4" s="84"/>
      <c r="AL4" s="84"/>
    </row>
    <row r="5" spans="1:39" s="8" customFormat="1" x14ac:dyDescent="0.2">
      <c r="A5" s="7" t="s">
        <v>3</v>
      </c>
      <c r="B5" s="7" t="s">
        <v>4</v>
      </c>
      <c r="C5" s="7" t="s">
        <v>5</v>
      </c>
      <c r="D5" s="7" t="s">
        <v>6</v>
      </c>
      <c r="E5" s="7" t="s">
        <v>121</v>
      </c>
      <c r="F5" s="25" t="s">
        <v>119</v>
      </c>
      <c r="G5" s="25" t="s">
        <v>122</v>
      </c>
      <c r="H5" s="14" t="s">
        <v>120</v>
      </c>
      <c r="I5" s="7" t="s">
        <v>5</v>
      </c>
      <c r="J5" s="7" t="s">
        <v>6</v>
      </c>
      <c r="K5" s="7" t="s">
        <v>121</v>
      </c>
      <c r="L5" s="25" t="s">
        <v>119</v>
      </c>
      <c r="M5" s="25" t="s">
        <v>122</v>
      </c>
      <c r="N5" s="14" t="s">
        <v>120</v>
      </c>
      <c r="O5" s="7" t="s">
        <v>5</v>
      </c>
      <c r="P5" s="7" t="s">
        <v>6</v>
      </c>
      <c r="Q5" s="7" t="s">
        <v>121</v>
      </c>
      <c r="R5" s="25" t="s">
        <v>119</v>
      </c>
      <c r="S5" s="25" t="s">
        <v>122</v>
      </c>
      <c r="T5" s="14" t="s">
        <v>120</v>
      </c>
      <c r="U5" s="7" t="s">
        <v>5</v>
      </c>
      <c r="V5" s="7" t="s">
        <v>6</v>
      </c>
      <c r="W5" s="7" t="s">
        <v>121</v>
      </c>
      <c r="X5" s="25" t="s">
        <v>119</v>
      </c>
      <c r="Y5" s="25" t="s">
        <v>122</v>
      </c>
      <c r="Z5" s="14" t="s">
        <v>120</v>
      </c>
      <c r="AA5" s="7" t="s">
        <v>5</v>
      </c>
      <c r="AB5" s="7" t="s">
        <v>6</v>
      </c>
      <c r="AC5" s="7" t="s">
        <v>121</v>
      </c>
      <c r="AD5" s="25" t="s">
        <v>119</v>
      </c>
      <c r="AE5" s="25" t="s">
        <v>122</v>
      </c>
      <c r="AF5" s="14" t="s">
        <v>120</v>
      </c>
      <c r="AG5" s="7" t="s">
        <v>5</v>
      </c>
      <c r="AH5" s="7" t="s">
        <v>6</v>
      </c>
      <c r="AI5" s="7" t="s">
        <v>121</v>
      </c>
      <c r="AJ5" s="25" t="s">
        <v>119</v>
      </c>
      <c r="AK5" s="25" t="s">
        <v>122</v>
      </c>
      <c r="AL5" s="14" t="s">
        <v>120</v>
      </c>
      <c r="AM5" s="8" t="s">
        <v>165</v>
      </c>
    </row>
    <row r="6" spans="1:39" x14ac:dyDescent="0.2">
      <c r="A6" s="5">
        <v>1</v>
      </c>
      <c r="B6" s="6" t="s">
        <v>7</v>
      </c>
      <c r="C6" s="5" t="s">
        <v>1</v>
      </c>
      <c r="D6" s="71">
        <v>4</v>
      </c>
      <c r="E6" s="71">
        <v>4</v>
      </c>
      <c r="F6" s="18"/>
      <c r="G6" s="18">
        <v>4</v>
      </c>
      <c r="H6" s="13"/>
      <c r="I6" s="5" t="s">
        <v>1</v>
      </c>
      <c r="J6" s="5">
        <v>4</v>
      </c>
      <c r="K6" s="5">
        <v>1</v>
      </c>
      <c r="L6" s="5">
        <v>3</v>
      </c>
      <c r="M6" s="5">
        <f>L6+K6</f>
        <v>4</v>
      </c>
      <c r="N6" s="30">
        <v>22500</v>
      </c>
      <c r="O6" s="5" t="s">
        <v>1</v>
      </c>
      <c r="P6" s="5">
        <v>4</v>
      </c>
      <c r="Q6" s="18">
        <v>2</v>
      </c>
      <c r="R6" s="5"/>
      <c r="S6" s="5">
        <f>R6+Q6</f>
        <v>2</v>
      </c>
      <c r="T6" s="41"/>
      <c r="U6" s="5" t="s">
        <v>1</v>
      </c>
      <c r="V6" s="5">
        <f>S6</f>
        <v>2</v>
      </c>
      <c r="W6" s="5">
        <v>2</v>
      </c>
      <c r="X6" s="5"/>
      <c r="Y6" s="5">
        <f>X6+W6</f>
        <v>2</v>
      </c>
      <c r="Z6" s="41"/>
      <c r="AA6" s="5" t="s">
        <v>1</v>
      </c>
      <c r="AB6" s="5">
        <f>Y6</f>
        <v>2</v>
      </c>
      <c r="AC6" s="5">
        <v>2</v>
      </c>
      <c r="AD6" s="5">
        <v>5</v>
      </c>
      <c r="AE6" s="5">
        <f>AD6+AC6</f>
        <v>7</v>
      </c>
      <c r="AF6" s="30">
        <v>30000</v>
      </c>
      <c r="AG6" s="5" t="s">
        <v>1</v>
      </c>
      <c r="AH6" s="5">
        <f>AE6</f>
        <v>7</v>
      </c>
      <c r="AI6" s="5">
        <v>7</v>
      </c>
      <c r="AJ6" s="5"/>
      <c r="AK6" s="5">
        <f>AJ6+AI6</f>
        <v>7</v>
      </c>
      <c r="AL6" s="5"/>
      <c r="AM6" s="45"/>
    </row>
    <row r="7" spans="1:39" x14ac:dyDescent="0.2">
      <c r="A7" s="5">
        <v>2</v>
      </c>
      <c r="B7" s="6" t="s">
        <v>8</v>
      </c>
      <c r="C7" s="5" t="s">
        <v>1</v>
      </c>
      <c r="D7" s="5">
        <v>8</v>
      </c>
      <c r="E7" s="5">
        <v>7</v>
      </c>
      <c r="F7" s="18"/>
      <c r="G7" s="18">
        <v>7</v>
      </c>
      <c r="H7" s="13"/>
      <c r="I7" s="5" t="s">
        <v>1</v>
      </c>
      <c r="J7" s="5">
        <v>7</v>
      </c>
      <c r="K7" s="5">
        <v>7</v>
      </c>
      <c r="L7" s="5"/>
      <c r="M7" s="5">
        <f t="shared" ref="M7:M70" si="0">L7+K7</f>
        <v>7</v>
      </c>
      <c r="N7" s="30"/>
      <c r="O7" s="5" t="s">
        <v>1</v>
      </c>
      <c r="P7" s="5">
        <v>7</v>
      </c>
      <c r="Q7" s="18">
        <v>7</v>
      </c>
      <c r="R7" s="5"/>
      <c r="S7" s="5">
        <f t="shared" ref="S7:S70" si="1">R7+Q7</f>
        <v>7</v>
      </c>
      <c r="T7" s="41"/>
      <c r="U7" s="5" t="s">
        <v>1</v>
      </c>
      <c r="V7" s="5">
        <f t="shared" ref="V7:V70" si="2">S7</f>
        <v>7</v>
      </c>
      <c r="W7" s="5">
        <v>7</v>
      </c>
      <c r="X7" s="5"/>
      <c r="Y7" s="5">
        <f t="shared" ref="Y7:Y70" si="3">X7+W7</f>
        <v>7</v>
      </c>
      <c r="Z7" s="41"/>
      <c r="AA7" s="5" t="s">
        <v>1</v>
      </c>
      <c r="AB7" s="5">
        <f t="shared" ref="AB7:AB70" si="4">Y7</f>
        <v>7</v>
      </c>
      <c r="AC7" s="5">
        <v>7</v>
      </c>
      <c r="AD7" s="5"/>
      <c r="AE7" s="5">
        <f t="shared" ref="AE7:AE70" si="5">AD7+AC7</f>
        <v>7</v>
      </c>
      <c r="AF7" s="30"/>
      <c r="AG7" s="5" t="s">
        <v>1</v>
      </c>
      <c r="AH7" s="5">
        <f t="shared" ref="AH7:AH70" si="6">AE7</f>
        <v>7</v>
      </c>
      <c r="AI7" s="5">
        <v>7</v>
      </c>
      <c r="AJ7" s="5"/>
      <c r="AK7" s="5">
        <f t="shared" ref="AK7:AK70" si="7">AJ7+AI7</f>
        <v>7</v>
      </c>
      <c r="AL7" s="5"/>
      <c r="AM7" s="45"/>
    </row>
    <row r="8" spans="1:39" x14ac:dyDescent="0.2">
      <c r="A8" s="5">
        <v>3</v>
      </c>
      <c r="B8" s="6" t="s">
        <v>9</v>
      </c>
      <c r="C8" s="5" t="s">
        <v>1</v>
      </c>
      <c r="D8" s="5">
        <v>5</v>
      </c>
      <c r="E8" s="5">
        <v>1</v>
      </c>
      <c r="F8" s="18">
        <v>5</v>
      </c>
      <c r="G8" s="18">
        <v>6</v>
      </c>
      <c r="H8" s="13">
        <v>80000</v>
      </c>
      <c r="I8" s="5" t="s">
        <v>1</v>
      </c>
      <c r="J8" s="5">
        <v>6</v>
      </c>
      <c r="K8" s="5">
        <v>4</v>
      </c>
      <c r="L8" s="5"/>
      <c r="M8" s="5">
        <f t="shared" si="0"/>
        <v>4</v>
      </c>
      <c r="N8" s="30"/>
      <c r="O8" s="5" t="s">
        <v>1</v>
      </c>
      <c r="P8" s="5">
        <v>4</v>
      </c>
      <c r="Q8" s="18">
        <v>2</v>
      </c>
      <c r="R8" s="5"/>
      <c r="S8" s="5">
        <f t="shared" si="1"/>
        <v>2</v>
      </c>
      <c r="T8" s="41"/>
      <c r="U8" s="5" t="s">
        <v>1</v>
      </c>
      <c r="V8" s="5">
        <f t="shared" si="2"/>
        <v>2</v>
      </c>
      <c r="W8" s="5">
        <v>1</v>
      </c>
      <c r="X8" s="5"/>
      <c r="Y8" s="5">
        <f t="shared" si="3"/>
        <v>1</v>
      </c>
      <c r="Z8" s="41"/>
      <c r="AA8" s="5" t="s">
        <v>1</v>
      </c>
      <c r="AB8" s="5">
        <f t="shared" si="4"/>
        <v>1</v>
      </c>
      <c r="AC8" s="5">
        <v>1</v>
      </c>
      <c r="AD8" s="5"/>
      <c r="AE8" s="5">
        <f t="shared" si="5"/>
        <v>1</v>
      </c>
      <c r="AF8" s="30"/>
      <c r="AG8" s="5" t="s">
        <v>1</v>
      </c>
      <c r="AH8" s="5">
        <f t="shared" si="6"/>
        <v>1</v>
      </c>
      <c r="AI8" s="5">
        <v>0</v>
      </c>
      <c r="AJ8" s="5">
        <v>10</v>
      </c>
      <c r="AK8" s="5">
        <f t="shared" si="7"/>
        <v>10</v>
      </c>
      <c r="AL8" s="5"/>
      <c r="AM8" s="45"/>
    </row>
    <row r="9" spans="1:39" x14ac:dyDescent="0.2">
      <c r="A9" s="5">
        <v>4</v>
      </c>
      <c r="B9" s="6" t="s">
        <v>10</v>
      </c>
      <c r="C9" s="5" t="s">
        <v>1</v>
      </c>
      <c r="D9" s="5">
        <v>3</v>
      </c>
      <c r="E9" s="5">
        <v>0</v>
      </c>
      <c r="F9" s="18">
        <v>3</v>
      </c>
      <c r="G9" s="18">
        <v>3</v>
      </c>
      <c r="H9" s="13">
        <v>28500</v>
      </c>
      <c r="I9" s="5" t="s">
        <v>1</v>
      </c>
      <c r="J9" s="5">
        <v>3</v>
      </c>
      <c r="K9" s="5">
        <v>1</v>
      </c>
      <c r="L9" s="5">
        <v>5</v>
      </c>
      <c r="M9" s="5">
        <f t="shared" si="0"/>
        <v>6</v>
      </c>
      <c r="N9" s="30">
        <v>47500</v>
      </c>
      <c r="O9" s="5" t="s">
        <v>1</v>
      </c>
      <c r="P9" s="5">
        <v>6</v>
      </c>
      <c r="Q9" s="18">
        <v>4</v>
      </c>
      <c r="R9" s="5"/>
      <c r="S9" s="5">
        <f t="shared" si="1"/>
        <v>4</v>
      </c>
      <c r="T9" s="41"/>
      <c r="U9" s="5" t="s">
        <v>1</v>
      </c>
      <c r="V9" s="5">
        <f t="shared" si="2"/>
        <v>4</v>
      </c>
      <c r="W9" s="5">
        <v>2</v>
      </c>
      <c r="X9" s="5">
        <v>3</v>
      </c>
      <c r="Y9" s="5">
        <f t="shared" si="3"/>
        <v>5</v>
      </c>
      <c r="Z9" s="41">
        <v>36000</v>
      </c>
      <c r="AA9" s="5" t="s">
        <v>1</v>
      </c>
      <c r="AB9" s="5">
        <f t="shared" si="4"/>
        <v>5</v>
      </c>
      <c r="AC9" s="5">
        <v>3</v>
      </c>
      <c r="AD9" s="5"/>
      <c r="AE9" s="5">
        <f t="shared" si="5"/>
        <v>3</v>
      </c>
      <c r="AF9" s="30"/>
      <c r="AG9" s="5" t="s">
        <v>1</v>
      </c>
      <c r="AH9" s="5">
        <f t="shared" si="6"/>
        <v>3</v>
      </c>
      <c r="AI9" s="5">
        <v>0</v>
      </c>
      <c r="AJ9" s="5">
        <v>10</v>
      </c>
      <c r="AK9" s="5">
        <f t="shared" si="7"/>
        <v>10</v>
      </c>
      <c r="AL9" s="5"/>
      <c r="AM9" s="45">
        <v>2</v>
      </c>
    </row>
    <row r="10" spans="1:39" x14ac:dyDescent="0.2">
      <c r="A10" s="5">
        <v>5</v>
      </c>
      <c r="B10" s="3" t="s">
        <v>105</v>
      </c>
      <c r="C10" s="18" t="s">
        <v>1</v>
      </c>
      <c r="D10" s="19">
        <v>5</v>
      </c>
      <c r="E10" s="19">
        <v>0</v>
      </c>
      <c r="F10" s="18">
        <v>5</v>
      </c>
      <c r="G10" s="18">
        <v>5</v>
      </c>
      <c r="H10" s="16">
        <v>37500</v>
      </c>
      <c r="I10" s="18" t="s">
        <v>1</v>
      </c>
      <c r="J10" s="5">
        <v>5</v>
      </c>
      <c r="K10" s="5">
        <v>1</v>
      </c>
      <c r="L10" s="5">
        <v>5</v>
      </c>
      <c r="M10" s="5">
        <f t="shared" si="0"/>
        <v>6</v>
      </c>
      <c r="N10" s="30">
        <v>37500</v>
      </c>
      <c r="O10" s="18" t="s">
        <v>1</v>
      </c>
      <c r="P10" s="5">
        <v>6</v>
      </c>
      <c r="Q10" s="18">
        <v>3</v>
      </c>
      <c r="R10" s="5"/>
      <c r="S10" s="5">
        <f t="shared" si="1"/>
        <v>3</v>
      </c>
      <c r="T10" s="41"/>
      <c r="U10" s="18" t="s">
        <v>1</v>
      </c>
      <c r="V10" s="5">
        <f t="shared" si="2"/>
        <v>3</v>
      </c>
      <c r="W10" s="5">
        <v>1</v>
      </c>
      <c r="X10" s="5">
        <v>3</v>
      </c>
      <c r="Y10" s="5">
        <f t="shared" si="3"/>
        <v>4</v>
      </c>
      <c r="Z10" s="41">
        <v>24000</v>
      </c>
      <c r="AA10" s="18" t="s">
        <v>1</v>
      </c>
      <c r="AB10" s="5">
        <f t="shared" si="4"/>
        <v>4</v>
      </c>
      <c r="AC10" s="5">
        <v>3</v>
      </c>
      <c r="AD10" s="5"/>
      <c r="AE10" s="5">
        <f t="shared" si="5"/>
        <v>3</v>
      </c>
      <c r="AF10" s="30"/>
      <c r="AG10" s="18" t="s">
        <v>1</v>
      </c>
      <c r="AH10" s="5">
        <f t="shared" si="6"/>
        <v>3</v>
      </c>
      <c r="AI10" s="5">
        <v>2</v>
      </c>
      <c r="AJ10" s="5">
        <v>10</v>
      </c>
      <c r="AK10" s="5">
        <f t="shared" si="7"/>
        <v>12</v>
      </c>
      <c r="AL10" s="5"/>
      <c r="AM10" s="45"/>
    </row>
    <row r="11" spans="1:39" x14ac:dyDescent="0.2">
      <c r="A11" s="5">
        <v>6</v>
      </c>
      <c r="B11" s="6" t="s">
        <v>147</v>
      </c>
      <c r="C11" s="5" t="s">
        <v>1</v>
      </c>
      <c r="D11" s="71">
        <v>2</v>
      </c>
      <c r="E11" s="71">
        <v>2</v>
      </c>
      <c r="F11" s="18"/>
      <c r="G11" s="18">
        <v>2</v>
      </c>
      <c r="H11" s="13"/>
      <c r="I11" s="5" t="s">
        <v>1</v>
      </c>
      <c r="J11" s="5">
        <v>2</v>
      </c>
      <c r="K11" s="5">
        <v>0</v>
      </c>
      <c r="L11" s="5">
        <v>5</v>
      </c>
      <c r="M11" s="5">
        <f t="shared" si="0"/>
        <v>5</v>
      </c>
      <c r="N11" s="30">
        <v>17500</v>
      </c>
      <c r="O11" s="5" t="s">
        <v>1</v>
      </c>
      <c r="P11" s="5">
        <v>5</v>
      </c>
      <c r="Q11" s="18">
        <v>3</v>
      </c>
      <c r="R11" s="5"/>
      <c r="S11" s="5">
        <f t="shared" si="1"/>
        <v>3</v>
      </c>
      <c r="T11" s="41"/>
      <c r="U11" s="5" t="s">
        <v>1</v>
      </c>
      <c r="V11" s="5">
        <f t="shared" si="2"/>
        <v>3</v>
      </c>
      <c r="W11" s="5">
        <v>1</v>
      </c>
      <c r="X11" s="5">
        <v>3</v>
      </c>
      <c r="Y11" s="5">
        <f t="shared" si="3"/>
        <v>4</v>
      </c>
      <c r="Z11" s="41">
        <v>18000</v>
      </c>
      <c r="AA11" s="5" t="s">
        <v>1</v>
      </c>
      <c r="AB11" s="5">
        <f t="shared" si="4"/>
        <v>4</v>
      </c>
      <c r="AC11" s="5">
        <v>2</v>
      </c>
      <c r="AD11" s="5"/>
      <c r="AE11" s="5">
        <f t="shared" si="5"/>
        <v>2</v>
      </c>
      <c r="AF11" s="30"/>
      <c r="AG11" s="5" t="s">
        <v>1</v>
      </c>
      <c r="AH11" s="5">
        <f t="shared" si="6"/>
        <v>2</v>
      </c>
      <c r="AI11" s="5">
        <v>0</v>
      </c>
      <c r="AJ11" s="5">
        <v>10</v>
      </c>
      <c r="AK11" s="5">
        <f t="shared" si="7"/>
        <v>10</v>
      </c>
      <c r="AL11" s="5"/>
      <c r="AM11" s="45"/>
    </row>
    <row r="12" spans="1:39" x14ac:dyDescent="0.2">
      <c r="A12" s="5">
        <v>7</v>
      </c>
      <c r="B12" s="6" t="s">
        <v>11</v>
      </c>
      <c r="C12" s="5" t="s">
        <v>1</v>
      </c>
      <c r="D12" s="5">
        <v>10</v>
      </c>
      <c r="E12" s="5">
        <v>3</v>
      </c>
      <c r="F12" s="18">
        <v>10</v>
      </c>
      <c r="G12" s="18">
        <v>13</v>
      </c>
      <c r="H12" s="13">
        <v>55000</v>
      </c>
      <c r="I12" s="5" t="s">
        <v>1</v>
      </c>
      <c r="J12" s="5">
        <v>13</v>
      </c>
      <c r="K12" s="5">
        <v>6</v>
      </c>
      <c r="L12" s="5"/>
      <c r="M12" s="5">
        <f t="shared" si="0"/>
        <v>6</v>
      </c>
      <c r="N12" s="30"/>
      <c r="O12" s="5" t="s">
        <v>1</v>
      </c>
      <c r="P12" s="5">
        <v>6</v>
      </c>
      <c r="Q12" s="18">
        <v>5</v>
      </c>
      <c r="R12" s="5"/>
      <c r="S12" s="5">
        <f t="shared" si="1"/>
        <v>5</v>
      </c>
      <c r="T12" s="41"/>
      <c r="U12" s="5" t="s">
        <v>1</v>
      </c>
      <c r="V12" s="5">
        <f t="shared" si="2"/>
        <v>5</v>
      </c>
      <c r="W12" s="5">
        <v>5</v>
      </c>
      <c r="X12" s="5"/>
      <c r="Y12" s="5">
        <f t="shared" si="3"/>
        <v>5</v>
      </c>
      <c r="Z12" s="41"/>
      <c r="AA12" s="5" t="s">
        <v>1</v>
      </c>
      <c r="AB12" s="5">
        <f t="shared" si="4"/>
        <v>5</v>
      </c>
      <c r="AC12" s="5">
        <v>5</v>
      </c>
      <c r="AD12" s="5"/>
      <c r="AE12" s="5">
        <f t="shared" si="5"/>
        <v>5</v>
      </c>
      <c r="AF12" s="30"/>
      <c r="AG12" s="5" t="s">
        <v>1</v>
      </c>
      <c r="AH12" s="5">
        <f t="shared" si="6"/>
        <v>5</v>
      </c>
      <c r="AI12" s="5">
        <v>5</v>
      </c>
      <c r="AJ12" s="5">
        <v>5</v>
      </c>
      <c r="AK12" s="5">
        <f t="shared" si="7"/>
        <v>10</v>
      </c>
      <c r="AL12" s="5"/>
    </row>
    <row r="13" spans="1:39" x14ac:dyDescent="0.2">
      <c r="A13" s="5">
        <v>8</v>
      </c>
      <c r="B13" s="6" t="s">
        <v>69</v>
      </c>
      <c r="C13" s="5" t="s">
        <v>1</v>
      </c>
      <c r="D13" s="5">
        <v>5</v>
      </c>
      <c r="E13" s="5">
        <v>0</v>
      </c>
      <c r="F13" s="18">
        <v>3</v>
      </c>
      <c r="G13" s="18">
        <v>3</v>
      </c>
      <c r="H13" s="13">
        <v>60000</v>
      </c>
      <c r="I13" s="5" t="s">
        <v>1</v>
      </c>
      <c r="J13" s="5">
        <v>3</v>
      </c>
      <c r="K13" s="5">
        <v>0</v>
      </c>
      <c r="L13" s="5">
        <v>3</v>
      </c>
      <c r="M13" s="5">
        <f t="shared" si="0"/>
        <v>3</v>
      </c>
      <c r="N13" s="30">
        <v>165000</v>
      </c>
      <c r="O13" s="5" t="s">
        <v>1</v>
      </c>
      <c r="P13" s="5">
        <v>3</v>
      </c>
      <c r="Q13" s="18">
        <v>2</v>
      </c>
      <c r="R13" s="5"/>
      <c r="S13" s="5">
        <f t="shared" si="1"/>
        <v>2</v>
      </c>
      <c r="T13" s="41"/>
      <c r="U13" s="5" t="s">
        <v>1</v>
      </c>
      <c r="V13" s="5">
        <f t="shared" si="2"/>
        <v>2</v>
      </c>
      <c r="W13" s="5">
        <v>2</v>
      </c>
      <c r="X13" s="5"/>
      <c r="Y13" s="5">
        <f t="shared" si="3"/>
        <v>2</v>
      </c>
      <c r="Z13" s="41"/>
      <c r="AA13" s="5" t="s">
        <v>1</v>
      </c>
      <c r="AB13" s="5">
        <f t="shared" si="4"/>
        <v>2</v>
      </c>
      <c r="AC13" s="5">
        <v>2</v>
      </c>
      <c r="AD13" s="5"/>
      <c r="AE13" s="5">
        <f t="shared" si="5"/>
        <v>2</v>
      </c>
      <c r="AF13" s="30"/>
      <c r="AG13" s="5" t="s">
        <v>1</v>
      </c>
      <c r="AH13" s="5">
        <f t="shared" si="6"/>
        <v>2</v>
      </c>
      <c r="AI13" s="5">
        <v>2</v>
      </c>
      <c r="AJ13" s="5">
        <v>10</v>
      </c>
      <c r="AK13" s="5">
        <f t="shared" si="7"/>
        <v>12</v>
      </c>
      <c r="AL13" s="5"/>
      <c r="AM13" s="45"/>
    </row>
    <row r="14" spans="1:39" x14ac:dyDescent="0.2">
      <c r="A14" s="5">
        <v>9</v>
      </c>
      <c r="B14" s="6" t="s">
        <v>14</v>
      </c>
      <c r="C14" s="5" t="s">
        <v>1</v>
      </c>
      <c r="D14" s="5">
        <v>30</v>
      </c>
      <c r="E14" s="5">
        <v>20</v>
      </c>
      <c r="F14" s="18"/>
      <c r="G14" s="5">
        <v>20</v>
      </c>
      <c r="H14" s="13"/>
      <c r="I14" s="5" t="s">
        <v>1</v>
      </c>
      <c r="J14" s="5">
        <v>20</v>
      </c>
      <c r="K14" s="5">
        <v>20</v>
      </c>
      <c r="L14" s="5"/>
      <c r="M14" s="5">
        <f t="shared" si="0"/>
        <v>20</v>
      </c>
      <c r="N14" s="30"/>
      <c r="O14" s="5" t="s">
        <v>1</v>
      </c>
      <c r="P14" s="5">
        <v>20</v>
      </c>
      <c r="Q14" s="18">
        <v>20</v>
      </c>
      <c r="R14" s="5"/>
      <c r="S14" s="5">
        <f t="shared" si="1"/>
        <v>20</v>
      </c>
      <c r="T14" s="41"/>
      <c r="U14" s="5" t="s">
        <v>1</v>
      </c>
      <c r="V14" s="5">
        <f t="shared" si="2"/>
        <v>20</v>
      </c>
      <c r="W14" s="5">
        <v>20</v>
      </c>
      <c r="X14" s="5"/>
      <c r="Y14" s="5">
        <f t="shared" si="3"/>
        <v>20</v>
      </c>
      <c r="Z14" s="41"/>
      <c r="AA14" s="5" t="s">
        <v>1</v>
      </c>
      <c r="AB14" s="5">
        <f t="shared" si="4"/>
        <v>20</v>
      </c>
      <c r="AC14" s="5">
        <v>20</v>
      </c>
      <c r="AD14" s="5"/>
      <c r="AE14" s="5">
        <f t="shared" si="5"/>
        <v>20</v>
      </c>
      <c r="AF14" s="30"/>
      <c r="AG14" s="5" t="s">
        <v>1</v>
      </c>
      <c r="AH14" s="5">
        <f t="shared" si="6"/>
        <v>20</v>
      </c>
      <c r="AI14" s="5">
        <v>20</v>
      </c>
      <c r="AJ14" s="5">
        <v>10</v>
      </c>
      <c r="AK14" s="5">
        <f t="shared" si="7"/>
        <v>30</v>
      </c>
      <c r="AL14" s="5"/>
      <c r="AM14" s="45"/>
    </row>
    <row r="15" spans="1:39" x14ac:dyDescent="0.2">
      <c r="A15" s="5">
        <v>10</v>
      </c>
      <c r="B15" s="11" t="s">
        <v>81</v>
      </c>
      <c r="C15" s="18" t="s">
        <v>1</v>
      </c>
      <c r="D15" s="19">
        <v>30</v>
      </c>
      <c r="E15" s="19">
        <v>20</v>
      </c>
      <c r="F15" s="18"/>
      <c r="G15" s="19">
        <v>20</v>
      </c>
      <c r="H15" s="16"/>
      <c r="I15" s="18" t="s">
        <v>1</v>
      </c>
      <c r="J15" s="32">
        <v>20</v>
      </c>
      <c r="K15" s="5">
        <v>20</v>
      </c>
      <c r="L15" s="5"/>
      <c r="M15" s="5">
        <f t="shared" si="0"/>
        <v>20</v>
      </c>
      <c r="N15" s="30"/>
      <c r="O15" s="18" t="s">
        <v>1</v>
      </c>
      <c r="P15" s="5">
        <v>20</v>
      </c>
      <c r="Q15" s="18">
        <v>20</v>
      </c>
      <c r="R15" s="5"/>
      <c r="S15" s="5">
        <f t="shared" si="1"/>
        <v>20</v>
      </c>
      <c r="T15" s="41"/>
      <c r="U15" s="18" t="s">
        <v>1</v>
      </c>
      <c r="V15" s="5">
        <f t="shared" si="2"/>
        <v>20</v>
      </c>
      <c r="W15" s="5">
        <v>20</v>
      </c>
      <c r="X15" s="5"/>
      <c r="Y15" s="5">
        <f t="shared" si="3"/>
        <v>20</v>
      </c>
      <c r="Z15" s="41"/>
      <c r="AA15" s="18" t="s">
        <v>1</v>
      </c>
      <c r="AB15" s="5">
        <f t="shared" si="4"/>
        <v>20</v>
      </c>
      <c r="AC15" s="5">
        <v>20</v>
      </c>
      <c r="AD15" s="5"/>
      <c r="AE15" s="5">
        <f t="shared" si="5"/>
        <v>20</v>
      </c>
      <c r="AF15" s="30"/>
      <c r="AG15" s="18" t="s">
        <v>1</v>
      </c>
      <c r="AH15" s="5">
        <f t="shared" si="6"/>
        <v>20</v>
      </c>
      <c r="AI15" s="5">
        <v>20</v>
      </c>
      <c r="AJ15" s="5">
        <v>10</v>
      </c>
      <c r="AK15" s="5">
        <f t="shared" si="7"/>
        <v>30</v>
      </c>
      <c r="AL15" s="5"/>
      <c r="AM15" s="45"/>
    </row>
    <row r="16" spans="1:39" x14ac:dyDescent="0.2">
      <c r="A16" s="5">
        <v>11</v>
      </c>
      <c r="B16" s="11" t="s">
        <v>82</v>
      </c>
      <c r="C16" s="18" t="s">
        <v>1</v>
      </c>
      <c r="D16" s="19">
        <v>10</v>
      </c>
      <c r="E16" s="19">
        <v>6</v>
      </c>
      <c r="F16" s="18"/>
      <c r="G16" s="19">
        <v>6</v>
      </c>
      <c r="H16" s="16"/>
      <c r="I16" s="18" t="s">
        <v>1</v>
      </c>
      <c r="J16" s="32">
        <v>6</v>
      </c>
      <c r="K16" s="5">
        <v>2</v>
      </c>
      <c r="L16" s="5">
        <v>5</v>
      </c>
      <c r="M16" s="5">
        <f t="shared" si="0"/>
        <v>7</v>
      </c>
      <c r="N16" s="30">
        <v>27000</v>
      </c>
      <c r="O16" s="18" t="s">
        <v>1</v>
      </c>
      <c r="P16" s="5">
        <v>7</v>
      </c>
      <c r="Q16" s="18">
        <v>7</v>
      </c>
      <c r="R16" s="5"/>
      <c r="S16" s="5">
        <f t="shared" si="1"/>
        <v>7</v>
      </c>
      <c r="T16" s="41"/>
      <c r="U16" s="18" t="s">
        <v>1</v>
      </c>
      <c r="V16" s="5">
        <f t="shared" si="2"/>
        <v>7</v>
      </c>
      <c r="W16" s="5">
        <v>6</v>
      </c>
      <c r="X16" s="5"/>
      <c r="Y16" s="5">
        <f t="shared" si="3"/>
        <v>6</v>
      </c>
      <c r="Z16" s="41"/>
      <c r="AA16" s="18" t="s">
        <v>1</v>
      </c>
      <c r="AB16" s="5">
        <f t="shared" si="4"/>
        <v>6</v>
      </c>
      <c r="AC16" s="5">
        <v>6</v>
      </c>
      <c r="AD16" s="5"/>
      <c r="AE16" s="5">
        <f t="shared" si="5"/>
        <v>6</v>
      </c>
      <c r="AF16" s="30"/>
      <c r="AG16" s="18" t="s">
        <v>1</v>
      </c>
      <c r="AH16" s="5">
        <f t="shared" si="6"/>
        <v>6</v>
      </c>
      <c r="AI16" s="5">
        <v>60</v>
      </c>
      <c r="AJ16" s="5"/>
      <c r="AK16" s="5">
        <f t="shared" si="7"/>
        <v>60</v>
      </c>
      <c r="AL16" s="5"/>
      <c r="AM16" s="45"/>
    </row>
    <row r="17" spans="1:39" x14ac:dyDescent="0.2">
      <c r="A17" s="5">
        <v>12</v>
      </c>
      <c r="B17" s="3" t="s">
        <v>78</v>
      </c>
      <c r="C17" s="18" t="s">
        <v>1</v>
      </c>
      <c r="D17" s="19">
        <v>10</v>
      </c>
      <c r="E17" s="19">
        <v>10</v>
      </c>
      <c r="F17" s="18"/>
      <c r="G17" s="19">
        <v>10</v>
      </c>
      <c r="H17" s="16"/>
      <c r="I17" s="18" t="s">
        <v>1</v>
      </c>
      <c r="J17" s="32">
        <v>10</v>
      </c>
      <c r="K17" s="5">
        <v>8</v>
      </c>
      <c r="L17" s="5"/>
      <c r="M17" s="5">
        <f t="shared" si="0"/>
        <v>8</v>
      </c>
      <c r="N17" s="30"/>
      <c r="O17" s="18" t="s">
        <v>1</v>
      </c>
      <c r="P17" s="5">
        <v>8</v>
      </c>
      <c r="Q17" s="18">
        <v>8</v>
      </c>
      <c r="R17" s="5"/>
      <c r="S17" s="5">
        <f t="shared" si="1"/>
        <v>8</v>
      </c>
      <c r="T17" s="41"/>
      <c r="U17" s="18" t="s">
        <v>1</v>
      </c>
      <c r="V17" s="5">
        <f t="shared" si="2"/>
        <v>8</v>
      </c>
      <c r="W17" s="5">
        <v>6</v>
      </c>
      <c r="X17" s="5"/>
      <c r="Y17" s="5">
        <f t="shared" si="3"/>
        <v>6</v>
      </c>
      <c r="Z17" s="41"/>
      <c r="AA17" s="18" t="s">
        <v>1</v>
      </c>
      <c r="AB17" s="5">
        <f t="shared" si="4"/>
        <v>6</v>
      </c>
      <c r="AC17" s="5">
        <v>6</v>
      </c>
      <c r="AD17" s="5"/>
      <c r="AE17" s="5">
        <f t="shared" si="5"/>
        <v>6</v>
      </c>
      <c r="AF17" s="30"/>
      <c r="AG17" s="18" t="s">
        <v>1</v>
      </c>
      <c r="AH17" s="5">
        <f t="shared" si="6"/>
        <v>6</v>
      </c>
      <c r="AI17" s="5">
        <v>10</v>
      </c>
      <c r="AJ17" s="5">
        <v>20</v>
      </c>
      <c r="AK17" s="5">
        <f t="shared" si="7"/>
        <v>30</v>
      </c>
      <c r="AL17" s="5"/>
      <c r="AM17" s="45"/>
    </row>
    <row r="18" spans="1:39" x14ac:dyDescent="0.2">
      <c r="A18" s="5">
        <v>13</v>
      </c>
      <c r="B18" s="11" t="s">
        <v>80</v>
      </c>
      <c r="C18" s="18" t="s">
        <v>1</v>
      </c>
      <c r="D18" s="72">
        <v>30</v>
      </c>
      <c r="E18" s="72">
        <v>30</v>
      </c>
      <c r="F18" s="18"/>
      <c r="G18" s="19">
        <v>30</v>
      </c>
      <c r="H18" s="16"/>
      <c r="I18" s="18" t="s">
        <v>1</v>
      </c>
      <c r="J18" s="32">
        <v>30</v>
      </c>
      <c r="K18" s="5">
        <v>30</v>
      </c>
      <c r="L18" s="5"/>
      <c r="M18" s="5">
        <f t="shared" si="0"/>
        <v>30</v>
      </c>
      <c r="N18" s="30"/>
      <c r="O18" s="18" t="s">
        <v>1</v>
      </c>
      <c r="P18" s="5">
        <v>30</v>
      </c>
      <c r="Q18" s="18">
        <v>30</v>
      </c>
      <c r="R18" s="5"/>
      <c r="S18" s="5">
        <f t="shared" si="1"/>
        <v>30</v>
      </c>
      <c r="T18" s="41"/>
      <c r="U18" s="18" t="s">
        <v>1</v>
      </c>
      <c r="V18" s="5">
        <f t="shared" si="2"/>
        <v>30</v>
      </c>
      <c r="W18" s="5">
        <v>30</v>
      </c>
      <c r="X18" s="5"/>
      <c r="Y18" s="5">
        <f t="shared" si="3"/>
        <v>30</v>
      </c>
      <c r="Z18" s="41"/>
      <c r="AA18" s="18" t="s">
        <v>1</v>
      </c>
      <c r="AB18" s="5">
        <f t="shared" si="4"/>
        <v>30</v>
      </c>
      <c r="AC18" s="5">
        <v>30</v>
      </c>
      <c r="AD18" s="5"/>
      <c r="AE18" s="5">
        <f t="shared" si="5"/>
        <v>30</v>
      </c>
      <c r="AF18" s="30"/>
      <c r="AG18" s="18" t="s">
        <v>1</v>
      </c>
      <c r="AH18" s="5">
        <f t="shared" si="6"/>
        <v>30</v>
      </c>
      <c r="AI18" s="5">
        <v>30</v>
      </c>
      <c r="AJ18" s="5"/>
      <c r="AK18" s="5">
        <f t="shared" si="7"/>
        <v>30</v>
      </c>
      <c r="AL18" s="5"/>
      <c r="AM18" s="45"/>
    </row>
    <row r="19" spans="1:39" x14ac:dyDescent="0.2">
      <c r="A19" s="5">
        <v>14</v>
      </c>
      <c r="B19" s="10" t="s">
        <v>79</v>
      </c>
      <c r="C19" s="18" t="s">
        <v>1</v>
      </c>
      <c r="D19" s="72">
        <v>33</v>
      </c>
      <c r="E19" s="72">
        <v>30</v>
      </c>
      <c r="F19" s="18"/>
      <c r="G19" s="19">
        <v>30</v>
      </c>
      <c r="H19" s="16"/>
      <c r="I19" s="18" t="s">
        <v>1</v>
      </c>
      <c r="J19" s="32">
        <v>30</v>
      </c>
      <c r="K19" s="5">
        <v>30</v>
      </c>
      <c r="L19" s="5"/>
      <c r="M19" s="5">
        <f t="shared" si="0"/>
        <v>30</v>
      </c>
      <c r="N19" s="30"/>
      <c r="O19" s="18" t="s">
        <v>1</v>
      </c>
      <c r="P19" s="5">
        <v>30</v>
      </c>
      <c r="Q19" s="18">
        <v>30</v>
      </c>
      <c r="R19" s="5"/>
      <c r="S19" s="5">
        <f t="shared" si="1"/>
        <v>30</v>
      </c>
      <c r="T19" s="41"/>
      <c r="U19" s="18" t="s">
        <v>1</v>
      </c>
      <c r="V19" s="5">
        <f t="shared" si="2"/>
        <v>30</v>
      </c>
      <c r="W19" s="5">
        <v>30</v>
      </c>
      <c r="X19" s="5"/>
      <c r="Y19" s="5">
        <f t="shared" si="3"/>
        <v>30</v>
      </c>
      <c r="Z19" s="41"/>
      <c r="AA19" s="18" t="s">
        <v>1</v>
      </c>
      <c r="AB19" s="5">
        <f t="shared" si="4"/>
        <v>30</v>
      </c>
      <c r="AC19" s="5">
        <v>30</v>
      </c>
      <c r="AD19" s="5"/>
      <c r="AE19" s="5">
        <f t="shared" si="5"/>
        <v>30</v>
      </c>
      <c r="AF19" s="30"/>
      <c r="AG19" s="18" t="s">
        <v>1</v>
      </c>
      <c r="AH19" s="5">
        <f t="shared" si="6"/>
        <v>30</v>
      </c>
      <c r="AI19" s="5">
        <v>30</v>
      </c>
      <c r="AJ19" s="5"/>
      <c r="AK19" s="5">
        <f t="shared" si="7"/>
        <v>30</v>
      </c>
      <c r="AL19" s="5"/>
      <c r="AM19" s="45"/>
    </row>
    <row r="20" spans="1:39" x14ac:dyDescent="0.2">
      <c r="A20" s="5">
        <v>15</v>
      </c>
      <c r="B20" s="6" t="s">
        <v>13</v>
      </c>
      <c r="C20" s="5" t="s">
        <v>1</v>
      </c>
      <c r="D20" s="71">
        <v>160</v>
      </c>
      <c r="E20" s="71">
        <v>159</v>
      </c>
      <c r="F20" s="18"/>
      <c r="G20" s="5">
        <v>159</v>
      </c>
      <c r="H20" s="13"/>
      <c r="I20" s="5" t="s">
        <v>1</v>
      </c>
      <c r="J20" s="5">
        <v>159</v>
      </c>
      <c r="K20" s="5">
        <v>158</v>
      </c>
      <c r="L20" s="5"/>
      <c r="M20" s="5">
        <f t="shared" si="0"/>
        <v>158</v>
      </c>
      <c r="N20" s="30"/>
      <c r="O20" s="5" t="s">
        <v>1</v>
      </c>
      <c r="P20" s="5">
        <v>158</v>
      </c>
      <c r="Q20" s="18">
        <v>157</v>
      </c>
      <c r="R20" s="5"/>
      <c r="S20" s="5">
        <f t="shared" si="1"/>
        <v>157</v>
      </c>
      <c r="T20" s="41"/>
      <c r="U20" s="5" t="s">
        <v>1</v>
      </c>
      <c r="V20" s="5">
        <f t="shared" si="2"/>
        <v>157</v>
      </c>
      <c r="W20" s="5">
        <v>155</v>
      </c>
      <c r="X20" s="5"/>
      <c r="Y20" s="5">
        <f t="shared" si="3"/>
        <v>155</v>
      </c>
      <c r="Z20" s="41"/>
      <c r="AA20" s="5" t="s">
        <v>1</v>
      </c>
      <c r="AB20" s="5">
        <f t="shared" si="4"/>
        <v>155</v>
      </c>
      <c r="AC20" s="5">
        <v>153</v>
      </c>
      <c r="AD20" s="5"/>
      <c r="AE20" s="5">
        <f t="shared" si="5"/>
        <v>153</v>
      </c>
      <c r="AF20" s="30"/>
      <c r="AG20" s="5" t="s">
        <v>1</v>
      </c>
      <c r="AH20" s="5">
        <f t="shared" si="6"/>
        <v>153</v>
      </c>
      <c r="AI20" s="5">
        <v>150</v>
      </c>
      <c r="AJ20" s="5"/>
      <c r="AK20" s="5">
        <f t="shared" si="7"/>
        <v>150</v>
      </c>
      <c r="AL20" s="5"/>
      <c r="AM20" s="45"/>
    </row>
    <row r="21" spans="1:39" x14ac:dyDescent="0.2">
      <c r="A21" s="5">
        <v>16</v>
      </c>
      <c r="B21" s="6" t="s">
        <v>12</v>
      </c>
      <c r="C21" s="5" t="s">
        <v>1</v>
      </c>
      <c r="D21" s="5">
        <v>10</v>
      </c>
      <c r="E21" s="5">
        <v>5</v>
      </c>
      <c r="F21" s="18"/>
      <c r="G21" s="5">
        <v>5</v>
      </c>
      <c r="H21" s="13"/>
      <c r="I21" s="5" t="s">
        <v>1</v>
      </c>
      <c r="J21" s="5">
        <v>5</v>
      </c>
      <c r="K21" s="5">
        <v>2</v>
      </c>
      <c r="L21" s="5">
        <v>5</v>
      </c>
      <c r="M21" s="5">
        <f t="shared" si="0"/>
        <v>7</v>
      </c>
      <c r="N21" s="30">
        <v>27000</v>
      </c>
      <c r="O21" s="5" t="s">
        <v>1</v>
      </c>
      <c r="P21" s="5">
        <v>7</v>
      </c>
      <c r="Q21" s="18">
        <v>6</v>
      </c>
      <c r="R21" s="5"/>
      <c r="S21" s="5">
        <f t="shared" si="1"/>
        <v>6</v>
      </c>
      <c r="T21" s="41"/>
      <c r="U21" s="5" t="s">
        <v>1</v>
      </c>
      <c r="V21" s="5">
        <f t="shared" si="2"/>
        <v>6</v>
      </c>
      <c r="W21" s="5">
        <v>6</v>
      </c>
      <c r="X21" s="5"/>
      <c r="Y21" s="5">
        <f t="shared" si="3"/>
        <v>6</v>
      </c>
      <c r="Z21" s="41"/>
      <c r="AA21" s="5" t="s">
        <v>1</v>
      </c>
      <c r="AB21" s="5">
        <f t="shared" si="4"/>
        <v>6</v>
      </c>
      <c r="AC21" s="5">
        <v>6</v>
      </c>
      <c r="AD21" s="5"/>
      <c r="AE21" s="5">
        <f t="shared" si="5"/>
        <v>6</v>
      </c>
      <c r="AF21" s="30"/>
      <c r="AG21" s="5" t="s">
        <v>1</v>
      </c>
      <c r="AH21" s="5">
        <f t="shared" si="6"/>
        <v>6</v>
      </c>
      <c r="AI21" s="5">
        <v>40</v>
      </c>
      <c r="AJ21" s="5"/>
      <c r="AK21" s="5">
        <f t="shared" si="7"/>
        <v>40</v>
      </c>
      <c r="AL21" s="5"/>
      <c r="AM21" s="45"/>
    </row>
    <row r="22" spans="1:39" x14ac:dyDescent="0.2">
      <c r="A22" s="5">
        <v>17</v>
      </c>
      <c r="B22" s="3" t="s">
        <v>100</v>
      </c>
      <c r="C22" s="18" t="s">
        <v>1</v>
      </c>
      <c r="D22" s="72">
        <v>20</v>
      </c>
      <c r="E22" s="72">
        <v>20</v>
      </c>
      <c r="F22" s="18"/>
      <c r="G22" s="19">
        <v>20</v>
      </c>
      <c r="H22" s="16"/>
      <c r="I22" s="18" t="s">
        <v>1</v>
      </c>
      <c r="J22" s="32">
        <v>20</v>
      </c>
      <c r="K22" s="5">
        <v>20</v>
      </c>
      <c r="L22" s="5"/>
      <c r="M22" s="5">
        <f t="shared" si="0"/>
        <v>20</v>
      </c>
      <c r="N22" s="30"/>
      <c r="O22" s="18" t="s">
        <v>1</v>
      </c>
      <c r="P22" s="5">
        <v>20</v>
      </c>
      <c r="Q22" s="18">
        <v>20</v>
      </c>
      <c r="R22" s="5"/>
      <c r="S22" s="5">
        <f t="shared" si="1"/>
        <v>20</v>
      </c>
      <c r="T22" s="41"/>
      <c r="U22" s="18" t="s">
        <v>1</v>
      </c>
      <c r="V22" s="5">
        <f t="shared" si="2"/>
        <v>20</v>
      </c>
      <c r="W22" s="5">
        <v>20</v>
      </c>
      <c r="X22" s="5"/>
      <c r="Y22" s="5">
        <f t="shared" si="3"/>
        <v>20</v>
      </c>
      <c r="Z22" s="41"/>
      <c r="AA22" s="18" t="s">
        <v>1</v>
      </c>
      <c r="AB22" s="5">
        <f t="shared" si="4"/>
        <v>20</v>
      </c>
      <c r="AC22" s="5">
        <v>20</v>
      </c>
      <c r="AD22" s="5"/>
      <c r="AE22" s="5">
        <f t="shared" si="5"/>
        <v>20</v>
      </c>
      <c r="AF22" s="30"/>
      <c r="AG22" s="18" t="s">
        <v>1</v>
      </c>
      <c r="AH22" s="5">
        <f t="shared" si="6"/>
        <v>20</v>
      </c>
      <c r="AI22" s="5">
        <v>20</v>
      </c>
      <c r="AJ22" s="5">
        <v>20</v>
      </c>
      <c r="AK22" s="5">
        <f t="shared" si="7"/>
        <v>40</v>
      </c>
      <c r="AL22" s="5"/>
      <c r="AM22" s="45"/>
    </row>
    <row r="23" spans="1:39" x14ac:dyDescent="0.2">
      <c r="A23" s="5">
        <v>18</v>
      </c>
      <c r="B23" s="6" t="s">
        <v>15</v>
      </c>
      <c r="C23" s="5" t="s">
        <v>1</v>
      </c>
      <c r="D23" s="5">
        <v>14</v>
      </c>
      <c r="E23" s="5">
        <v>8</v>
      </c>
      <c r="F23" s="18"/>
      <c r="G23" s="5">
        <v>8</v>
      </c>
      <c r="H23" s="13"/>
      <c r="I23" s="5" t="s">
        <v>1</v>
      </c>
      <c r="J23" s="5">
        <v>8</v>
      </c>
      <c r="K23" s="5">
        <v>4</v>
      </c>
      <c r="L23" s="5">
        <v>72</v>
      </c>
      <c r="M23" s="5">
        <f t="shared" si="0"/>
        <v>76</v>
      </c>
      <c r="N23" s="30">
        <v>336000</v>
      </c>
      <c r="O23" s="5" t="s">
        <v>1</v>
      </c>
      <c r="P23" s="5">
        <v>76</v>
      </c>
      <c r="Q23" s="18">
        <v>38</v>
      </c>
      <c r="R23" s="5"/>
      <c r="S23" s="5">
        <f t="shared" si="1"/>
        <v>38</v>
      </c>
      <c r="T23" s="41"/>
      <c r="U23" s="5" t="s">
        <v>1</v>
      </c>
      <c r="V23" s="5">
        <f t="shared" si="2"/>
        <v>38</v>
      </c>
      <c r="W23" s="5">
        <v>8</v>
      </c>
      <c r="X23" s="5">
        <v>42</v>
      </c>
      <c r="Y23" s="5">
        <f t="shared" si="3"/>
        <v>50</v>
      </c>
      <c r="Z23" s="41">
        <v>245000</v>
      </c>
      <c r="AA23" s="5" t="s">
        <v>1</v>
      </c>
      <c r="AB23" s="5">
        <f t="shared" si="4"/>
        <v>50</v>
      </c>
      <c r="AC23" s="5">
        <v>2</v>
      </c>
      <c r="AD23" s="5">
        <v>60</v>
      </c>
      <c r="AE23" s="5">
        <f t="shared" si="5"/>
        <v>62</v>
      </c>
      <c r="AF23" s="30">
        <v>400000</v>
      </c>
      <c r="AG23" s="5" t="s">
        <v>1</v>
      </c>
      <c r="AH23" s="5">
        <f t="shared" si="6"/>
        <v>62</v>
      </c>
      <c r="AI23" s="5">
        <v>42</v>
      </c>
      <c r="AJ23" s="5"/>
      <c r="AK23" s="5">
        <f t="shared" si="7"/>
        <v>42</v>
      </c>
      <c r="AL23" s="5"/>
      <c r="AM23" s="45">
        <v>6</v>
      </c>
    </row>
    <row r="24" spans="1:39" x14ac:dyDescent="0.2">
      <c r="A24" s="5">
        <v>19</v>
      </c>
      <c r="B24" s="6" t="s">
        <v>16</v>
      </c>
      <c r="C24" s="5" t="s">
        <v>1</v>
      </c>
      <c r="D24" s="5">
        <v>14</v>
      </c>
      <c r="E24" s="5">
        <v>3</v>
      </c>
      <c r="F24" s="18">
        <v>6</v>
      </c>
      <c r="G24" s="5">
        <v>9</v>
      </c>
      <c r="H24" s="13">
        <v>28000</v>
      </c>
      <c r="I24" s="5" t="s">
        <v>1</v>
      </c>
      <c r="J24" s="5">
        <v>9</v>
      </c>
      <c r="K24" s="5">
        <v>2</v>
      </c>
      <c r="L24" s="5">
        <v>72</v>
      </c>
      <c r="M24" s="5">
        <f t="shared" si="0"/>
        <v>74</v>
      </c>
      <c r="N24" s="30">
        <v>336000</v>
      </c>
      <c r="O24" s="5" t="s">
        <v>1</v>
      </c>
      <c r="P24" s="5">
        <v>74</v>
      </c>
      <c r="Q24" s="18">
        <v>47</v>
      </c>
      <c r="R24" s="5"/>
      <c r="S24" s="5">
        <f t="shared" si="1"/>
        <v>47</v>
      </c>
      <c r="T24" s="41"/>
      <c r="U24" s="5" t="s">
        <v>1</v>
      </c>
      <c r="V24" s="5">
        <f t="shared" si="2"/>
        <v>47</v>
      </c>
      <c r="W24" s="5">
        <v>7</v>
      </c>
      <c r="X24" s="5">
        <v>42</v>
      </c>
      <c r="Y24" s="5">
        <f t="shared" si="3"/>
        <v>49</v>
      </c>
      <c r="Z24" s="41">
        <v>245000</v>
      </c>
      <c r="AA24" s="5" t="s">
        <v>1</v>
      </c>
      <c r="AB24" s="5">
        <f t="shared" si="4"/>
        <v>49</v>
      </c>
      <c r="AC24" s="5">
        <v>23</v>
      </c>
      <c r="AD24" s="5"/>
      <c r="AE24" s="5">
        <f t="shared" si="5"/>
        <v>23</v>
      </c>
      <c r="AF24" s="30"/>
      <c r="AG24" s="5" t="s">
        <v>1</v>
      </c>
      <c r="AH24" s="5">
        <f t="shared" si="6"/>
        <v>23</v>
      </c>
      <c r="AI24" s="5">
        <v>6</v>
      </c>
      <c r="AJ24" s="5"/>
      <c r="AK24" s="5">
        <f t="shared" si="7"/>
        <v>6</v>
      </c>
      <c r="AL24" s="5"/>
      <c r="AM24" s="45">
        <v>3</v>
      </c>
    </row>
    <row r="25" spans="1:39" x14ac:dyDescent="0.2">
      <c r="A25" s="5">
        <v>20</v>
      </c>
      <c r="B25" s="6" t="s">
        <v>17</v>
      </c>
      <c r="C25" s="5" t="s">
        <v>1</v>
      </c>
      <c r="D25" s="5">
        <v>36</v>
      </c>
      <c r="E25" s="5">
        <v>25</v>
      </c>
      <c r="F25" s="18"/>
      <c r="G25" s="5">
        <v>25</v>
      </c>
      <c r="H25" s="13"/>
      <c r="I25" s="5" t="s">
        <v>1</v>
      </c>
      <c r="J25" s="5">
        <v>25</v>
      </c>
      <c r="K25" s="5">
        <v>18</v>
      </c>
      <c r="L25" s="5">
        <v>40</v>
      </c>
      <c r="M25" s="5">
        <f t="shared" si="0"/>
        <v>58</v>
      </c>
      <c r="N25" s="30">
        <v>168000</v>
      </c>
      <c r="O25" s="5" t="s">
        <v>1</v>
      </c>
      <c r="P25" s="5">
        <v>58</v>
      </c>
      <c r="Q25" s="18">
        <v>42</v>
      </c>
      <c r="R25" s="5"/>
      <c r="S25" s="5">
        <f t="shared" si="1"/>
        <v>42</v>
      </c>
      <c r="T25" s="41"/>
      <c r="U25" s="5" t="s">
        <v>1</v>
      </c>
      <c r="V25" s="5">
        <f t="shared" si="2"/>
        <v>42</v>
      </c>
      <c r="W25" s="5">
        <v>23</v>
      </c>
      <c r="X25" s="5"/>
      <c r="Y25" s="5">
        <f t="shared" si="3"/>
        <v>23</v>
      </c>
      <c r="Z25" s="41"/>
      <c r="AA25" s="5" t="s">
        <v>1</v>
      </c>
      <c r="AB25" s="5">
        <f t="shared" si="4"/>
        <v>23</v>
      </c>
      <c r="AC25" s="5">
        <v>17</v>
      </c>
      <c r="AD25" s="5"/>
      <c r="AE25" s="5">
        <f t="shared" si="5"/>
        <v>17</v>
      </c>
      <c r="AF25" s="30"/>
      <c r="AG25" s="5" t="s">
        <v>1</v>
      </c>
      <c r="AH25" s="5">
        <f t="shared" si="6"/>
        <v>17</v>
      </c>
      <c r="AI25" s="5">
        <v>17</v>
      </c>
      <c r="AJ25" s="5">
        <v>12</v>
      </c>
      <c r="AK25" s="5">
        <f t="shared" si="7"/>
        <v>29</v>
      </c>
      <c r="AL25" s="5"/>
      <c r="AM25" s="45"/>
    </row>
    <row r="26" spans="1:39" x14ac:dyDescent="0.2">
      <c r="A26" s="5">
        <v>21</v>
      </c>
      <c r="B26" s="6" t="s">
        <v>18</v>
      </c>
      <c r="C26" s="5" t="s">
        <v>1</v>
      </c>
      <c r="D26" s="5">
        <v>48</v>
      </c>
      <c r="E26" s="5">
        <v>40</v>
      </c>
      <c r="F26" s="18"/>
      <c r="G26" s="5">
        <v>40</v>
      </c>
      <c r="H26" s="13"/>
      <c r="I26" s="5" t="s">
        <v>1</v>
      </c>
      <c r="J26" s="5">
        <v>40</v>
      </c>
      <c r="K26" s="5">
        <v>10</v>
      </c>
      <c r="L26" s="5">
        <v>46</v>
      </c>
      <c r="M26" s="5">
        <f t="shared" si="0"/>
        <v>56</v>
      </c>
      <c r="N26" s="30">
        <v>504000</v>
      </c>
      <c r="O26" s="5" t="s">
        <v>1</v>
      </c>
      <c r="P26" s="5">
        <v>56</v>
      </c>
      <c r="Q26" s="18">
        <v>40</v>
      </c>
      <c r="R26" s="5"/>
      <c r="S26" s="5">
        <f t="shared" si="1"/>
        <v>40</v>
      </c>
      <c r="T26" s="41"/>
      <c r="U26" s="5" t="s">
        <v>1</v>
      </c>
      <c r="V26" s="5">
        <f t="shared" si="2"/>
        <v>40</v>
      </c>
      <c r="W26" s="5">
        <v>31</v>
      </c>
      <c r="X26" s="5"/>
      <c r="Y26" s="5">
        <f t="shared" si="3"/>
        <v>31</v>
      </c>
      <c r="Z26" s="41"/>
      <c r="AA26" s="5" t="s">
        <v>1</v>
      </c>
      <c r="AB26" s="5">
        <f t="shared" si="4"/>
        <v>31</v>
      </c>
      <c r="AC26" s="5">
        <v>25</v>
      </c>
      <c r="AD26" s="5"/>
      <c r="AE26" s="5">
        <f t="shared" si="5"/>
        <v>25</v>
      </c>
      <c r="AF26" s="30"/>
      <c r="AG26" s="5" t="s">
        <v>1</v>
      </c>
      <c r="AH26" s="5">
        <f t="shared" si="6"/>
        <v>25</v>
      </c>
      <c r="AI26" s="5">
        <v>25</v>
      </c>
      <c r="AJ26" s="5"/>
      <c r="AK26" s="5">
        <f t="shared" si="7"/>
        <v>25</v>
      </c>
      <c r="AL26" s="5"/>
      <c r="AM26" s="45"/>
    </row>
    <row r="27" spans="1:39" x14ac:dyDescent="0.2">
      <c r="A27" s="5">
        <v>22</v>
      </c>
      <c r="B27" s="6" t="s">
        <v>19</v>
      </c>
      <c r="C27" s="5" t="s">
        <v>1</v>
      </c>
      <c r="D27" s="5">
        <v>8</v>
      </c>
      <c r="E27" s="5">
        <v>6</v>
      </c>
      <c r="F27" s="18"/>
      <c r="G27" s="5">
        <v>6</v>
      </c>
      <c r="H27" s="13"/>
      <c r="I27" s="5" t="s">
        <v>1</v>
      </c>
      <c r="J27" s="5">
        <v>6</v>
      </c>
      <c r="K27" s="5">
        <v>3</v>
      </c>
      <c r="L27" s="5"/>
      <c r="M27" s="5">
        <f t="shared" si="0"/>
        <v>3</v>
      </c>
      <c r="N27" s="30"/>
      <c r="O27" s="5" t="s">
        <v>1</v>
      </c>
      <c r="P27" s="5">
        <v>3</v>
      </c>
      <c r="Q27" s="18">
        <v>1</v>
      </c>
      <c r="R27" s="5">
        <v>12</v>
      </c>
      <c r="S27" s="5">
        <f t="shared" si="1"/>
        <v>13</v>
      </c>
      <c r="T27" s="41">
        <v>187200</v>
      </c>
      <c r="U27" s="5" t="s">
        <v>1</v>
      </c>
      <c r="V27" s="5">
        <f t="shared" si="2"/>
        <v>13</v>
      </c>
      <c r="W27" s="5">
        <v>9</v>
      </c>
      <c r="X27" s="5"/>
      <c r="Y27" s="5">
        <f t="shared" si="3"/>
        <v>9</v>
      </c>
      <c r="Z27" s="41"/>
      <c r="AA27" s="5" t="s">
        <v>1</v>
      </c>
      <c r="AB27" s="5">
        <f t="shared" si="4"/>
        <v>9</v>
      </c>
      <c r="AC27" s="5">
        <v>5</v>
      </c>
      <c r="AD27" s="5"/>
      <c r="AE27" s="5">
        <f t="shared" si="5"/>
        <v>5</v>
      </c>
      <c r="AF27" s="30"/>
      <c r="AG27" s="5" t="s">
        <v>1</v>
      </c>
      <c r="AH27" s="5">
        <f t="shared" si="6"/>
        <v>5</v>
      </c>
      <c r="AI27" s="5">
        <v>0</v>
      </c>
      <c r="AJ27" s="5"/>
      <c r="AK27" s="5">
        <f t="shared" si="7"/>
        <v>0</v>
      </c>
      <c r="AL27" s="5"/>
      <c r="AM27" s="45"/>
    </row>
    <row r="28" spans="1:39" x14ac:dyDescent="0.2">
      <c r="A28" s="5">
        <v>23</v>
      </c>
      <c r="B28" s="6" t="s">
        <v>110</v>
      </c>
      <c r="C28" s="5" t="s">
        <v>1</v>
      </c>
      <c r="D28" s="5">
        <v>8</v>
      </c>
      <c r="E28" s="5">
        <v>5</v>
      </c>
      <c r="F28" s="18"/>
      <c r="G28" s="18">
        <v>5</v>
      </c>
      <c r="H28" s="13"/>
      <c r="I28" s="5" t="s">
        <v>1</v>
      </c>
      <c r="J28" s="5">
        <v>5</v>
      </c>
      <c r="K28" s="5">
        <v>3</v>
      </c>
      <c r="L28" s="5"/>
      <c r="M28" s="5">
        <f t="shared" si="0"/>
        <v>3</v>
      </c>
      <c r="N28" s="30"/>
      <c r="O28" s="5" t="s">
        <v>1</v>
      </c>
      <c r="P28" s="5">
        <v>3</v>
      </c>
      <c r="Q28" s="18">
        <v>1</v>
      </c>
      <c r="R28" s="5"/>
      <c r="S28" s="5">
        <f t="shared" si="1"/>
        <v>1</v>
      </c>
      <c r="T28" s="41"/>
      <c r="U28" s="5" t="s">
        <v>1</v>
      </c>
      <c r="V28" s="5">
        <f t="shared" si="2"/>
        <v>1</v>
      </c>
      <c r="W28" s="5">
        <v>0</v>
      </c>
      <c r="X28" s="5"/>
      <c r="Y28" s="5">
        <f t="shared" si="3"/>
        <v>0</v>
      </c>
      <c r="Z28" s="41"/>
      <c r="AA28" s="5" t="s">
        <v>1</v>
      </c>
      <c r="AB28" s="5">
        <f t="shared" si="4"/>
        <v>0</v>
      </c>
      <c r="AC28" s="5">
        <v>0</v>
      </c>
      <c r="AD28" s="5"/>
      <c r="AE28" s="5">
        <f t="shared" si="5"/>
        <v>0</v>
      </c>
      <c r="AF28" s="30"/>
      <c r="AG28" s="5" t="s">
        <v>1</v>
      </c>
      <c r="AH28" s="5">
        <f t="shared" si="6"/>
        <v>0</v>
      </c>
      <c r="AI28" s="5">
        <v>0</v>
      </c>
      <c r="AJ28" s="5"/>
      <c r="AK28" s="5">
        <f t="shared" si="7"/>
        <v>0</v>
      </c>
      <c r="AL28" s="5"/>
      <c r="AM28" s="45"/>
    </row>
    <row r="29" spans="1:39" x14ac:dyDescent="0.2">
      <c r="A29" s="5">
        <v>24</v>
      </c>
      <c r="B29" s="6" t="s">
        <v>20</v>
      </c>
      <c r="C29" s="5" t="s">
        <v>1</v>
      </c>
      <c r="D29" s="5">
        <v>29</v>
      </c>
      <c r="E29" s="5">
        <v>5</v>
      </c>
      <c r="F29" s="18">
        <v>24</v>
      </c>
      <c r="G29" s="18">
        <v>29</v>
      </c>
      <c r="H29" s="13">
        <v>324000</v>
      </c>
      <c r="I29" s="5" t="s">
        <v>1</v>
      </c>
      <c r="J29" s="5">
        <v>29</v>
      </c>
      <c r="K29" s="5">
        <v>21</v>
      </c>
      <c r="L29" s="5"/>
      <c r="M29" s="5">
        <f t="shared" si="0"/>
        <v>21</v>
      </c>
      <c r="N29" s="30"/>
      <c r="O29" s="5" t="s">
        <v>1</v>
      </c>
      <c r="P29" s="5">
        <v>21</v>
      </c>
      <c r="Q29" s="18">
        <v>4</v>
      </c>
      <c r="R29" s="5">
        <v>60</v>
      </c>
      <c r="S29" s="5">
        <f t="shared" si="1"/>
        <v>64</v>
      </c>
      <c r="T29" s="41">
        <v>810000</v>
      </c>
      <c r="U29" s="5" t="s">
        <v>1</v>
      </c>
      <c r="V29" s="5">
        <f t="shared" si="2"/>
        <v>64</v>
      </c>
      <c r="W29" s="5">
        <v>30</v>
      </c>
      <c r="X29" s="5"/>
      <c r="Y29" s="5">
        <f t="shared" si="3"/>
        <v>30</v>
      </c>
      <c r="Z29" s="41"/>
      <c r="AA29" s="5" t="s">
        <v>1</v>
      </c>
      <c r="AB29" s="5">
        <f t="shared" si="4"/>
        <v>30</v>
      </c>
      <c r="AC29" s="5">
        <v>15</v>
      </c>
      <c r="AD29" s="5"/>
      <c r="AE29" s="5">
        <f t="shared" si="5"/>
        <v>15</v>
      </c>
      <c r="AF29" s="30"/>
      <c r="AG29" s="5" t="s">
        <v>1</v>
      </c>
      <c r="AH29" s="5">
        <f t="shared" si="6"/>
        <v>15</v>
      </c>
      <c r="AI29" s="5">
        <v>5</v>
      </c>
      <c r="AJ29" s="5"/>
      <c r="AK29" s="5">
        <f t="shared" si="7"/>
        <v>5</v>
      </c>
      <c r="AL29" s="5"/>
      <c r="AM29" s="45"/>
    </row>
    <row r="30" spans="1:39" x14ac:dyDescent="0.2">
      <c r="A30" s="5">
        <v>25</v>
      </c>
      <c r="B30" s="3" t="s">
        <v>84</v>
      </c>
      <c r="C30" s="18" t="s">
        <v>1</v>
      </c>
      <c r="D30" s="19">
        <v>6</v>
      </c>
      <c r="E30" s="19">
        <v>3</v>
      </c>
      <c r="F30" s="18">
        <v>5</v>
      </c>
      <c r="G30" s="18">
        <v>8</v>
      </c>
      <c r="H30" s="16">
        <v>13000</v>
      </c>
      <c r="I30" s="18" t="s">
        <v>1</v>
      </c>
      <c r="J30" s="5">
        <v>8</v>
      </c>
      <c r="K30" s="5">
        <v>5</v>
      </c>
      <c r="L30" s="5"/>
      <c r="M30" s="5">
        <f t="shared" si="0"/>
        <v>5</v>
      </c>
      <c r="N30" s="30"/>
      <c r="O30" s="18" t="s">
        <v>1</v>
      </c>
      <c r="P30" s="5">
        <v>5</v>
      </c>
      <c r="Q30" s="18">
        <v>5</v>
      </c>
      <c r="R30" s="5"/>
      <c r="S30" s="5">
        <f t="shared" si="1"/>
        <v>5</v>
      </c>
      <c r="T30" s="41"/>
      <c r="U30" s="18" t="s">
        <v>1</v>
      </c>
      <c r="V30" s="5">
        <f t="shared" si="2"/>
        <v>5</v>
      </c>
      <c r="W30" s="5">
        <v>5</v>
      </c>
      <c r="X30" s="5"/>
      <c r="Y30" s="5">
        <f t="shared" si="3"/>
        <v>5</v>
      </c>
      <c r="Z30" s="41"/>
      <c r="AA30" s="18" t="s">
        <v>1</v>
      </c>
      <c r="AB30" s="5">
        <f t="shared" si="4"/>
        <v>5</v>
      </c>
      <c r="AC30" s="5">
        <v>5</v>
      </c>
      <c r="AD30" s="5"/>
      <c r="AE30" s="5">
        <f t="shared" si="5"/>
        <v>5</v>
      </c>
      <c r="AF30" s="30"/>
      <c r="AG30" s="18" t="s">
        <v>1</v>
      </c>
      <c r="AH30" s="5">
        <f t="shared" si="6"/>
        <v>5</v>
      </c>
      <c r="AI30" s="5">
        <v>5</v>
      </c>
      <c r="AJ30" s="5"/>
      <c r="AK30" s="5">
        <f t="shared" si="7"/>
        <v>5</v>
      </c>
      <c r="AL30" s="5"/>
      <c r="AM30" s="45"/>
    </row>
    <row r="31" spans="1:39" x14ac:dyDescent="0.2">
      <c r="A31" s="5">
        <v>26</v>
      </c>
      <c r="B31" s="6" t="s">
        <v>21</v>
      </c>
      <c r="C31" s="5" t="s">
        <v>1</v>
      </c>
      <c r="D31" s="5">
        <v>33</v>
      </c>
      <c r="E31" s="5">
        <v>28</v>
      </c>
      <c r="F31" s="18"/>
      <c r="G31" s="5">
        <v>28</v>
      </c>
      <c r="H31" s="13"/>
      <c r="I31" s="5" t="s">
        <v>1</v>
      </c>
      <c r="J31" s="5">
        <v>28</v>
      </c>
      <c r="K31" s="5">
        <v>25</v>
      </c>
      <c r="L31" s="5"/>
      <c r="M31" s="5">
        <f t="shared" si="0"/>
        <v>25</v>
      </c>
      <c r="N31" s="30"/>
      <c r="O31" s="5" t="s">
        <v>1</v>
      </c>
      <c r="P31" s="5">
        <v>25</v>
      </c>
      <c r="Q31" s="18">
        <v>24</v>
      </c>
      <c r="R31" s="5"/>
      <c r="S31" s="5">
        <f t="shared" si="1"/>
        <v>24</v>
      </c>
      <c r="T31" s="41"/>
      <c r="U31" s="5" t="s">
        <v>1</v>
      </c>
      <c r="V31" s="5">
        <f t="shared" si="2"/>
        <v>24</v>
      </c>
      <c r="W31" s="5">
        <v>24</v>
      </c>
      <c r="X31" s="5"/>
      <c r="Y31" s="5">
        <f t="shared" si="3"/>
        <v>24</v>
      </c>
      <c r="Z31" s="41"/>
      <c r="AA31" s="5" t="s">
        <v>1</v>
      </c>
      <c r="AB31" s="5">
        <f t="shared" si="4"/>
        <v>24</v>
      </c>
      <c r="AC31" s="5">
        <v>24</v>
      </c>
      <c r="AD31" s="5"/>
      <c r="AE31" s="5">
        <f t="shared" si="5"/>
        <v>24</v>
      </c>
      <c r="AF31" s="30"/>
      <c r="AG31" s="5" t="s">
        <v>1</v>
      </c>
      <c r="AH31" s="5">
        <f t="shared" si="6"/>
        <v>24</v>
      </c>
      <c r="AI31" s="5">
        <v>24</v>
      </c>
      <c r="AJ31" s="5">
        <v>60</v>
      </c>
      <c r="AK31" s="5">
        <f t="shared" si="7"/>
        <v>84</v>
      </c>
      <c r="AL31" s="5"/>
      <c r="AM31" s="45"/>
    </row>
    <row r="32" spans="1:39" x14ac:dyDescent="0.2">
      <c r="A32" s="5">
        <v>27</v>
      </c>
      <c r="B32" s="6" t="s">
        <v>22</v>
      </c>
      <c r="C32" s="5" t="s">
        <v>1</v>
      </c>
      <c r="D32" s="5">
        <v>35</v>
      </c>
      <c r="E32" s="5">
        <v>33</v>
      </c>
      <c r="F32" s="18"/>
      <c r="G32" s="5">
        <v>33</v>
      </c>
      <c r="H32" s="13"/>
      <c r="I32" s="5" t="s">
        <v>1</v>
      </c>
      <c r="J32" s="5">
        <v>33</v>
      </c>
      <c r="K32" s="5">
        <v>30</v>
      </c>
      <c r="L32" s="5"/>
      <c r="M32" s="5">
        <f t="shared" si="0"/>
        <v>30</v>
      </c>
      <c r="N32" s="30"/>
      <c r="O32" s="5" t="s">
        <v>1</v>
      </c>
      <c r="P32" s="5">
        <v>30</v>
      </c>
      <c r="Q32" s="18">
        <v>29</v>
      </c>
      <c r="R32" s="5"/>
      <c r="S32" s="5">
        <f t="shared" si="1"/>
        <v>29</v>
      </c>
      <c r="T32" s="41"/>
      <c r="U32" s="5" t="s">
        <v>1</v>
      </c>
      <c r="V32" s="5">
        <f t="shared" si="2"/>
        <v>29</v>
      </c>
      <c r="W32" s="5">
        <v>26</v>
      </c>
      <c r="X32" s="5"/>
      <c r="Y32" s="5">
        <f t="shared" si="3"/>
        <v>26</v>
      </c>
      <c r="Z32" s="41"/>
      <c r="AA32" s="5" t="s">
        <v>1</v>
      </c>
      <c r="AB32" s="5">
        <f t="shared" si="4"/>
        <v>26</v>
      </c>
      <c r="AC32" s="5">
        <v>24</v>
      </c>
      <c r="AD32" s="5"/>
      <c r="AE32" s="5">
        <f t="shared" si="5"/>
        <v>24</v>
      </c>
      <c r="AF32" s="30"/>
      <c r="AG32" s="5" t="s">
        <v>1</v>
      </c>
      <c r="AH32" s="5">
        <f t="shared" si="6"/>
        <v>24</v>
      </c>
      <c r="AI32" s="5">
        <v>24</v>
      </c>
      <c r="AJ32" s="5"/>
      <c r="AK32" s="5">
        <f t="shared" si="7"/>
        <v>24</v>
      </c>
      <c r="AL32" s="5"/>
      <c r="AM32" s="45"/>
    </row>
    <row r="33" spans="1:40" x14ac:dyDescent="0.2">
      <c r="A33" s="5">
        <v>28</v>
      </c>
      <c r="B33" s="6" t="s">
        <v>23</v>
      </c>
      <c r="C33" s="5" t="s">
        <v>1</v>
      </c>
      <c r="D33" s="5">
        <v>1</v>
      </c>
      <c r="E33" s="5">
        <v>0</v>
      </c>
      <c r="F33" s="18">
        <v>12</v>
      </c>
      <c r="G33" s="18">
        <v>12</v>
      </c>
      <c r="H33" s="13">
        <v>192000</v>
      </c>
      <c r="I33" s="5" t="s">
        <v>1</v>
      </c>
      <c r="J33" s="5">
        <v>12</v>
      </c>
      <c r="K33" s="5">
        <v>8</v>
      </c>
      <c r="L33" s="5"/>
      <c r="M33" s="5">
        <f t="shared" si="0"/>
        <v>8</v>
      </c>
      <c r="N33" s="30"/>
      <c r="O33" s="5" t="s">
        <v>1</v>
      </c>
      <c r="P33" s="5">
        <v>8</v>
      </c>
      <c r="Q33" s="18">
        <v>8</v>
      </c>
      <c r="R33" s="5"/>
      <c r="S33" s="5">
        <f t="shared" si="1"/>
        <v>8</v>
      </c>
      <c r="T33" s="41"/>
      <c r="U33" s="5" t="s">
        <v>1</v>
      </c>
      <c r="V33" s="5">
        <f t="shared" si="2"/>
        <v>8</v>
      </c>
      <c r="W33" s="5">
        <v>8</v>
      </c>
      <c r="X33" s="5"/>
      <c r="Y33" s="5">
        <f t="shared" si="3"/>
        <v>8</v>
      </c>
      <c r="Z33" s="41"/>
      <c r="AA33" s="5" t="s">
        <v>1</v>
      </c>
      <c r="AB33" s="5">
        <f t="shared" si="4"/>
        <v>8</v>
      </c>
      <c r="AC33" s="5">
        <v>8</v>
      </c>
      <c r="AD33" s="5"/>
      <c r="AE33" s="5">
        <f t="shared" si="5"/>
        <v>8</v>
      </c>
      <c r="AF33" s="30"/>
      <c r="AG33" s="5" t="s">
        <v>1</v>
      </c>
      <c r="AH33" s="5">
        <f t="shared" si="6"/>
        <v>8</v>
      </c>
      <c r="AI33" s="5">
        <v>8</v>
      </c>
      <c r="AJ33" s="5"/>
      <c r="AK33" s="5">
        <f t="shared" si="7"/>
        <v>8</v>
      </c>
      <c r="AL33" s="5"/>
      <c r="AM33" s="45"/>
    </row>
    <row r="34" spans="1:40" x14ac:dyDescent="0.2">
      <c r="A34" s="5">
        <v>29</v>
      </c>
      <c r="B34" s="6" t="s">
        <v>104</v>
      </c>
      <c r="C34" s="5" t="s">
        <v>1</v>
      </c>
      <c r="D34" s="5">
        <v>204</v>
      </c>
      <c r="E34" s="5">
        <v>200</v>
      </c>
      <c r="F34" s="18"/>
      <c r="G34" s="5">
        <v>200</v>
      </c>
      <c r="H34" s="13"/>
      <c r="I34" s="5" t="s">
        <v>1</v>
      </c>
      <c r="J34" s="5">
        <v>200</v>
      </c>
      <c r="K34" s="5">
        <v>178</v>
      </c>
      <c r="L34" s="5"/>
      <c r="M34" s="5">
        <v>178</v>
      </c>
      <c r="N34" s="30"/>
      <c r="O34" s="5" t="s">
        <v>1</v>
      </c>
      <c r="P34" s="5">
        <v>178</v>
      </c>
      <c r="Q34" s="18">
        <v>166</v>
      </c>
      <c r="R34" s="5"/>
      <c r="S34" s="5">
        <f t="shared" si="1"/>
        <v>166</v>
      </c>
      <c r="T34" s="41"/>
      <c r="U34" s="5" t="s">
        <v>1</v>
      </c>
      <c r="V34" s="5">
        <f t="shared" si="2"/>
        <v>166</v>
      </c>
      <c r="W34" s="5">
        <v>150</v>
      </c>
      <c r="X34" s="5"/>
      <c r="Y34" s="5">
        <f t="shared" si="3"/>
        <v>150</v>
      </c>
      <c r="Z34" s="41"/>
      <c r="AA34" s="5" t="s">
        <v>1</v>
      </c>
      <c r="AB34" s="5">
        <f t="shared" si="4"/>
        <v>150</v>
      </c>
      <c r="AC34" s="5">
        <v>148</v>
      </c>
      <c r="AD34" s="5"/>
      <c r="AE34" s="5">
        <f t="shared" si="5"/>
        <v>148</v>
      </c>
      <c r="AF34" s="30"/>
      <c r="AG34" s="5" t="s">
        <v>1</v>
      </c>
      <c r="AH34" s="5">
        <f>AE34</f>
        <v>148</v>
      </c>
      <c r="AI34" s="5">
        <v>144</v>
      </c>
      <c r="AJ34" s="5">
        <v>2</v>
      </c>
      <c r="AK34" s="5">
        <f t="shared" si="7"/>
        <v>146</v>
      </c>
      <c r="AL34" s="5"/>
      <c r="AM34" s="45"/>
    </row>
    <row r="35" spans="1:40" x14ac:dyDescent="0.2">
      <c r="A35" s="5">
        <v>30</v>
      </c>
      <c r="B35" s="6" t="s">
        <v>24</v>
      </c>
      <c r="C35" s="5" t="s">
        <v>25</v>
      </c>
      <c r="D35" s="71">
        <v>13</v>
      </c>
      <c r="E35" s="71">
        <v>13</v>
      </c>
      <c r="F35" s="18"/>
      <c r="G35" s="5">
        <v>12</v>
      </c>
      <c r="H35" s="13"/>
      <c r="I35" s="5" t="s">
        <v>1</v>
      </c>
      <c r="J35" s="5">
        <v>13</v>
      </c>
      <c r="K35" s="5">
        <v>13</v>
      </c>
      <c r="L35" s="5"/>
      <c r="M35" s="5">
        <f t="shared" si="0"/>
        <v>13</v>
      </c>
      <c r="N35" s="30"/>
      <c r="O35" s="5" t="s">
        <v>25</v>
      </c>
      <c r="P35" s="5">
        <v>13</v>
      </c>
      <c r="Q35" s="18">
        <v>13</v>
      </c>
      <c r="R35" s="5"/>
      <c r="S35" s="5">
        <f t="shared" si="1"/>
        <v>13</v>
      </c>
      <c r="T35" s="41"/>
      <c r="U35" s="5" t="s">
        <v>25</v>
      </c>
      <c r="V35" s="5">
        <f t="shared" si="2"/>
        <v>13</v>
      </c>
      <c r="W35" s="5">
        <v>13</v>
      </c>
      <c r="X35" s="5"/>
      <c r="Y35" s="5">
        <f t="shared" si="3"/>
        <v>13</v>
      </c>
      <c r="Z35" s="41"/>
      <c r="AA35" s="5" t="s">
        <v>25</v>
      </c>
      <c r="AB35" s="5">
        <f t="shared" si="4"/>
        <v>13</v>
      </c>
      <c r="AC35" s="5">
        <v>13</v>
      </c>
      <c r="AD35" s="5"/>
      <c r="AE35" s="5">
        <f t="shared" si="5"/>
        <v>13</v>
      </c>
      <c r="AF35" s="30"/>
      <c r="AG35" s="5" t="s">
        <v>25</v>
      </c>
      <c r="AH35" s="5">
        <f t="shared" si="6"/>
        <v>13</v>
      </c>
      <c r="AI35" s="5">
        <v>13</v>
      </c>
      <c r="AJ35" s="5"/>
      <c r="AK35" s="5">
        <f t="shared" si="7"/>
        <v>13</v>
      </c>
      <c r="AL35" s="5"/>
      <c r="AM35" s="45"/>
    </row>
    <row r="36" spans="1:40" x14ac:dyDescent="0.2">
      <c r="A36" s="5">
        <v>31</v>
      </c>
      <c r="B36" s="6" t="s">
        <v>26</v>
      </c>
      <c r="C36" s="5" t="s">
        <v>1</v>
      </c>
      <c r="D36" s="5">
        <v>151</v>
      </c>
      <c r="E36" s="5">
        <v>147</v>
      </c>
      <c r="F36" s="18"/>
      <c r="G36" s="5">
        <v>147</v>
      </c>
      <c r="H36" s="13"/>
      <c r="I36" s="5" t="s">
        <v>1</v>
      </c>
      <c r="J36" s="5">
        <v>147</v>
      </c>
      <c r="K36" s="5">
        <v>146</v>
      </c>
      <c r="L36" s="5"/>
      <c r="M36" s="5">
        <f t="shared" si="0"/>
        <v>146</v>
      </c>
      <c r="N36" s="30"/>
      <c r="O36" s="5" t="s">
        <v>1</v>
      </c>
      <c r="P36" s="5">
        <v>146</v>
      </c>
      <c r="Q36" s="18">
        <v>145</v>
      </c>
      <c r="R36" s="5"/>
      <c r="S36" s="5">
        <f t="shared" si="1"/>
        <v>145</v>
      </c>
      <c r="T36" s="41"/>
      <c r="U36" s="5" t="s">
        <v>1</v>
      </c>
      <c r="V36" s="5">
        <f t="shared" si="2"/>
        <v>145</v>
      </c>
      <c r="W36" s="5">
        <v>144</v>
      </c>
      <c r="X36" s="5"/>
      <c r="Y36" s="5">
        <f t="shared" si="3"/>
        <v>144</v>
      </c>
      <c r="Z36" s="41"/>
      <c r="AA36" s="5" t="s">
        <v>1</v>
      </c>
      <c r="AB36" s="5">
        <f t="shared" si="4"/>
        <v>144</v>
      </c>
      <c r="AC36" s="5">
        <v>144</v>
      </c>
      <c r="AD36" s="5"/>
      <c r="AE36" s="5">
        <f t="shared" si="5"/>
        <v>144</v>
      </c>
      <c r="AF36" s="30"/>
      <c r="AG36" s="5" t="s">
        <v>1</v>
      </c>
      <c r="AH36" s="5">
        <f t="shared" si="6"/>
        <v>144</v>
      </c>
      <c r="AI36" s="5">
        <v>144</v>
      </c>
      <c r="AJ36" s="5"/>
      <c r="AK36" s="5">
        <f t="shared" si="7"/>
        <v>144</v>
      </c>
      <c r="AL36" s="5"/>
      <c r="AM36" s="45"/>
    </row>
    <row r="37" spans="1:40" x14ac:dyDescent="0.2">
      <c r="A37" s="5">
        <v>32</v>
      </c>
      <c r="B37" s="6" t="s">
        <v>27</v>
      </c>
      <c r="C37" s="5" t="s">
        <v>1</v>
      </c>
      <c r="D37" s="5">
        <v>12</v>
      </c>
      <c r="E37" s="5">
        <v>10</v>
      </c>
      <c r="F37" s="18"/>
      <c r="G37" s="5">
        <v>10</v>
      </c>
      <c r="H37" s="13"/>
      <c r="I37" s="5" t="s">
        <v>1</v>
      </c>
      <c r="J37" s="5">
        <v>10</v>
      </c>
      <c r="K37" s="5">
        <v>9</v>
      </c>
      <c r="L37" s="5"/>
      <c r="M37" s="5">
        <f t="shared" si="0"/>
        <v>9</v>
      </c>
      <c r="N37" s="30"/>
      <c r="O37" s="5" t="s">
        <v>1</v>
      </c>
      <c r="P37" s="5">
        <v>8</v>
      </c>
      <c r="Q37" s="18">
        <v>8</v>
      </c>
      <c r="R37" s="5"/>
      <c r="S37" s="5">
        <f t="shared" si="1"/>
        <v>8</v>
      </c>
      <c r="T37" s="41"/>
      <c r="U37" s="5" t="s">
        <v>1</v>
      </c>
      <c r="V37" s="5">
        <f t="shared" si="2"/>
        <v>8</v>
      </c>
      <c r="W37" s="5">
        <v>7</v>
      </c>
      <c r="X37" s="5"/>
      <c r="Y37" s="5">
        <f t="shared" si="3"/>
        <v>7</v>
      </c>
      <c r="Z37" s="41"/>
      <c r="AA37" s="5" t="s">
        <v>1</v>
      </c>
      <c r="AB37" s="5">
        <f t="shared" si="4"/>
        <v>7</v>
      </c>
      <c r="AC37" s="5">
        <v>7</v>
      </c>
      <c r="AD37" s="5"/>
      <c r="AE37" s="5">
        <f t="shared" si="5"/>
        <v>7</v>
      </c>
      <c r="AF37" s="30"/>
      <c r="AG37" s="5" t="s">
        <v>1</v>
      </c>
      <c r="AH37" s="5">
        <f t="shared" si="6"/>
        <v>7</v>
      </c>
      <c r="AI37" s="5">
        <v>7</v>
      </c>
      <c r="AJ37" s="5">
        <v>24</v>
      </c>
      <c r="AK37" s="5">
        <f t="shared" si="7"/>
        <v>31</v>
      </c>
      <c r="AL37" s="5"/>
      <c r="AM37" s="45"/>
    </row>
    <row r="38" spans="1:40" x14ac:dyDescent="0.2">
      <c r="A38" s="5">
        <v>33</v>
      </c>
      <c r="B38" s="6" t="s">
        <v>28</v>
      </c>
      <c r="C38" s="5" t="s">
        <v>0</v>
      </c>
      <c r="D38" s="5">
        <v>6</v>
      </c>
      <c r="E38" s="5">
        <v>2</v>
      </c>
      <c r="F38" s="18">
        <v>30</v>
      </c>
      <c r="G38" s="18">
        <v>32</v>
      </c>
      <c r="H38" s="13">
        <v>1290000</v>
      </c>
      <c r="I38" s="5" t="s">
        <v>0</v>
      </c>
      <c r="J38" s="5">
        <v>32</v>
      </c>
      <c r="K38" s="5">
        <v>3</v>
      </c>
      <c r="L38" s="5">
        <v>70</v>
      </c>
      <c r="M38" s="5">
        <f t="shared" si="0"/>
        <v>73</v>
      </c>
      <c r="N38" s="30">
        <v>2940000</v>
      </c>
      <c r="O38" s="5" t="s">
        <v>0</v>
      </c>
      <c r="P38" s="5">
        <v>73</v>
      </c>
      <c r="Q38" s="18">
        <v>64</v>
      </c>
      <c r="R38" s="5"/>
      <c r="S38" s="5">
        <f t="shared" si="1"/>
        <v>64</v>
      </c>
      <c r="T38" s="41"/>
      <c r="U38" s="5" t="s">
        <v>0</v>
      </c>
      <c r="V38" s="5">
        <f t="shared" si="2"/>
        <v>64</v>
      </c>
      <c r="W38" s="5">
        <v>8</v>
      </c>
      <c r="X38" s="5">
        <v>50</v>
      </c>
      <c r="Y38" s="5">
        <f t="shared" si="3"/>
        <v>58</v>
      </c>
      <c r="Z38" s="41">
        <v>2475000</v>
      </c>
      <c r="AA38" s="5" t="s">
        <v>0</v>
      </c>
      <c r="AB38" s="5">
        <f t="shared" si="4"/>
        <v>58</v>
      </c>
      <c r="AC38" s="5"/>
      <c r="AD38" s="5">
        <v>40</v>
      </c>
      <c r="AE38" s="5">
        <f t="shared" si="5"/>
        <v>40</v>
      </c>
      <c r="AF38" s="30">
        <v>1792000</v>
      </c>
      <c r="AG38" s="5" t="s">
        <v>0</v>
      </c>
      <c r="AH38" s="5">
        <f t="shared" si="6"/>
        <v>40</v>
      </c>
      <c r="AI38" s="5">
        <v>48</v>
      </c>
      <c r="AJ38" s="5">
        <v>5</v>
      </c>
      <c r="AK38" s="5">
        <f t="shared" si="7"/>
        <v>53</v>
      </c>
      <c r="AL38" s="5"/>
      <c r="AM38" s="45">
        <v>19</v>
      </c>
      <c r="AN38" s="1">
        <f>AM38-3</f>
        <v>16</v>
      </c>
    </row>
    <row r="39" spans="1:40" x14ac:dyDescent="0.2">
      <c r="A39" s="5">
        <v>34</v>
      </c>
      <c r="B39" s="6" t="s">
        <v>29</v>
      </c>
      <c r="C39" s="5" t="s">
        <v>0</v>
      </c>
      <c r="D39" s="5">
        <v>13</v>
      </c>
      <c r="E39" s="5">
        <v>11</v>
      </c>
      <c r="F39" s="18"/>
      <c r="G39" s="5">
        <v>11</v>
      </c>
      <c r="H39" s="13"/>
      <c r="I39" s="5" t="s">
        <v>0</v>
      </c>
      <c r="J39" s="5">
        <v>11</v>
      </c>
      <c r="K39" s="5">
        <v>11</v>
      </c>
      <c r="L39" s="5"/>
      <c r="M39" s="5">
        <f t="shared" si="0"/>
        <v>11</v>
      </c>
      <c r="N39" s="30"/>
      <c r="O39" s="5" t="s">
        <v>0</v>
      </c>
      <c r="P39" s="5">
        <v>11</v>
      </c>
      <c r="Q39" s="18">
        <v>11</v>
      </c>
      <c r="R39" s="5"/>
      <c r="S39" s="5">
        <f t="shared" si="1"/>
        <v>11</v>
      </c>
      <c r="T39" s="41"/>
      <c r="U39" s="5" t="s">
        <v>0</v>
      </c>
      <c r="V39" s="5">
        <f t="shared" si="2"/>
        <v>11</v>
      </c>
      <c r="W39" s="5">
        <v>11</v>
      </c>
      <c r="X39" s="5"/>
      <c r="Y39" s="5">
        <f t="shared" si="3"/>
        <v>11</v>
      </c>
      <c r="Z39" s="41"/>
      <c r="AA39" s="5" t="s">
        <v>0</v>
      </c>
      <c r="AB39" s="5">
        <f t="shared" si="4"/>
        <v>11</v>
      </c>
      <c r="AC39" s="5">
        <v>11</v>
      </c>
      <c r="AD39" s="5"/>
      <c r="AE39" s="5">
        <f t="shared" si="5"/>
        <v>11</v>
      </c>
      <c r="AF39" s="30"/>
      <c r="AG39" s="5" t="s">
        <v>0</v>
      </c>
      <c r="AH39" s="5">
        <f t="shared" si="6"/>
        <v>11</v>
      </c>
      <c r="AI39" s="5">
        <v>11</v>
      </c>
      <c r="AJ39" s="5"/>
      <c r="AK39" s="5">
        <f t="shared" si="7"/>
        <v>11</v>
      </c>
      <c r="AL39" s="5"/>
      <c r="AM39" s="45"/>
    </row>
    <row r="40" spans="1:40" x14ac:dyDescent="0.2">
      <c r="A40" s="5">
        <v>35</v>
      </c>
      <c r="B40" s="6" t="s">
        <v>30</v>
      </c>
      <c r="C40" s="5" t="s">
        <v>0</v>
      </c>
      <c r="D40" s="5">
        <v>11</v>
      </c>
      <c r="E40" s="5">
        <v>9</v>
      </c>
      <c r="F40" s="18"/>
      <c r="G40" s="5">
        <v>9</v>
      </c>
      <c r="H40" s="13"/>
      <c r="I40" s="5" t="s">
        <v>0</v>
      </c>
      <c r="J40" s="5">
        <v>9</v>
      </c>
      <c r="K40" s="5">
        <v>5</v>
      </c>
      <c r="L40" s="5"/>
      <c r="M40" s="5">
        <f t="shared" si="0"/>
        <v>5</v>
      </c>
      <c r="N40" s="30"/>
      <c r="O40" s="5" t="s">
        <v>0</v>
      </c>
      <c r="P40" s="5">
        <v>5</v>
      </c>
      <c r="Q40" s="22">
        <v>2</v>
      </c>
      <c r="R40" s="5"/>
      <c r="S40" s="5">
        <v>2</v>
      </c>
      <c r="T40" s="41"/>
      <c r="U40" s="5" t="s">
        <v>0</v>
      </c>
      <c r="V40" s="5">
        <f t="shared" si="2"/>
        <v>2</v>
      </c>
      <c r="W40" s="5">
        <v>1</v>
      </c>
      <c r="X40" s="5">
        <v>10</v>
      </c>
      <c r="Y40" s="5">
        <f t="shared" si="3"/>
        <v>11</v>
      </c>
      <c r="Z40" s="41"/>
      <c r="AA40" s="5" t="s">
        <v>0</v>
      </c>
      <c r="AB40" s="5">
        <f t="shared" si="4"/>
        <v>11</v>
      </c>
      <c r="AC40" s="5">
        <v>8</v>
      </c>
      <c r="AD40" s="5"/>
      <c r="AE40" s="5">
        <f t="shared" si="5"/>
        <v>8</v>
      </c>
      <c r="AF40" s="30"/>
      <c r="AG40" s="5" t="s">
        <v>0</v>
      </c>
      <c r="AH40" s="5">
        <f t="shared" si="6"/>
        <v>8</v>
      </c>
      <c r="AI40" s="5">
        <v>3</v>
      </c>
      <c r="AJ40" s="5"/>
      <c r="AK40" s="5">
        <f t="shared" si="7"/>
        <v>3</v>
      </c>
      <c r="AL40" s="5"/>
      <c r="AM40" s="45"/>
    </row>
    <row r="41" spans="1:40" x14ac:dyDescent="0.2">
      <c r="A41" s="5">
        <v>36</v>
      </c>
      <c r="B41" s="6" t="s">
        <v>31</v>
      </c>
      <c r="C41" s="5" t="s">
        <v>1</v>
      </c>
      <c r="D41" s="5">
        <v>24</v>
      </c>
      <c r="E41" s="5">
        <v>20</v>
      </c>
      <c r="F41" s="18"/>
      <c r="G41" s="5">
        <v>20</v>
      </c>
      <c r="H41" s="13"/>
      <c r="I41" s="5" t="s">
        <v>1</v>
      </c>
      <c r="J41" s="5">
        <v>20</v>
      </c>
      <c r="K41" s="5">
        <v>14</v>
      </c>
      <c r="L41" s="5"/>
      <c r="M41" s="5">
        <f t="shared" si="0"/>
        <v>14</v>
      </c>
      <c r="N41" s="30"/>
      <c r="O41" s="5" t="s">
        <v>1</v>
      </c>
      <c r="P41" s="5">
        <v>14</v>
      </c>
      <c r="Q41" s="18">
        <v>13</v>
      </c>
      <c r="R41" s="5"/>
      <c r="S41" s="5">
        <f t="shared" si="1"/>
        <v>13</v>
      </c>
      <c r="T41" s="41"/>
      <c r="U41" s="5" t="s">
        <v>1</v>
      </c>
      <c r="V41" s="5">
        <f t="shared" si="2"/>
        <v>13</v>
      </c>
      <c r="W41" s="5">
        <v>13</v>
      </c>
      <c r="X41" s="5"/>
      <c r="Y41" s="5">
        <f t="shared" si="3"/>
        <v>13</v>
      </c>
      <c r="Z41" s="41"/>
      <c r="AA41" s="5" t="s">
        <v>1</v>
      </c>
      <c r="AB41" s="5">
        <f t="shared" si="4"/>
        <v>13</v>
      </c>
      <c r="AC41" s="5">
        <v>11</v>
      </c>
      <c r="AD41" s="5"/>
      <c r="AE41" s="5">
        <f t="shared" si="5"/>
        <v>11</v>
      </c>
      <c r="AF41" s="30"/>
      <c r="AG41" s="5" t="s">
        <v>1</v>
      </c>
      <c r="AH41" s="5">
        <f t="shared" si="6"/>
        <v>11</v>
      </c>
      <c r="AI41" s="5">
        <v>10</v>
      </c>
      <c r="AJ41" s="5"/>
      <c r="AK41" s="5">
        <f t="shared" si="7"/>
        <v>10</v>
      </c>
      <c r="AL41" s="5"/>
      <c r="AM41" s="45"/>
    </row>
    <row r="42" spans="1:40" x14ac:dyDescent="0.2">
      <c r="A42" s="5">
        <v>37</v>
      </c>
      <c r="B42" s="6" t="s">
        <v>73</v>
      </c>
      <c r="C42" s="5" t="s">
        <v>1</v>
      </c>
      <c r="D42" s="5">
        <v>12</v>
      </c>
      <c r="E42" s="5">
        <v>10</v>
      </c>
      <c r="F42" s="18"/>
      <c r="G42" s="5">
        <v>10</v>
      </c>
      <c r="H42" s="13"/>
      <c r="I42" s="5" t="s">
        <v>1</v>
      </c>
      <c r="J42" s="5">
        <v>10</v>
      </c>
      <c r="K42" s="5">
        <v>8</v>
      </c>
      <c r="L42" s="5"/>
      <c r="M42" s="5">
        <f t="shared" si="0"/>
        <v>8</v>
      </c>
      <c r="N42" s="30"/>
      <c r="O42" s="5" t="s">
        <v>1</v>
      </c>
      <c r="P42" s="5">
        <v>8</v>
      </c>
      <c r="Q42" s="18">
        <v>5</v>
      </c>
      <c r="R42" s="5"/>
      <c r="S42" s="5">
        <f t="shared" si="1"/>
        <v>5</v>
      </c>
      <c r="T42" s="41"/>
      <c r="U42" s="5" t="s">
        <v>1</v>
      </c>
      <c r="V42" s="5">
        <f t="shared" si="2"/>
        <v>5</v>
      </c>
      <c r="W42" s="5">
        <v>5</v>
      </c>
      <c r="X42" s="5"/>
      <c r="Y42" s="5">
        <f t="shared" si="3"/>
        <v>5</v>
      </c>
      <c r="Z42" s="41"/>
      <c r="AA42" s="5" t="s">
        <v>1</v>
      </c>
      <c r="AB42" s="5">
        <f t="shared" si="4"/>
        <v>5</v>
      </c>
      <c r="AC42" s="5">
        <v>3</v>
      </c>
      <c r="AD42" s="5"/>
      <c r="AE42" s="5">
        <f t="shared" si="5"/>
        <v>3</v>
      </c>
      <c r="AF42" s="30"/>
      <c r="AG42" s="5" t="s">
        <v>1</v>
      </c>
      <c r="AH42" s="5">
        <f t="shared" si="6"/>
        <v>3</v>
      </c>
      <c r="AI42" s="5">
        <v>0</v>
      </c>
      <c r="AJ42" s="5">
        <v>5</v>
      </c>
      <c r="AK42" s="5">
        <f t="shared" si="7"/>
        <v>5</v>
      </c>
      <c r="AL42" s="5"/>
      <c r="AM42" s="45"/>
    </row>
    <row r="43" spans="1:40" x14ac:dyDescent="0.2">
      <c r="A43" s="5">
        <v>38</v>
      </c>
      <c r="B43" s="6" t="s">
        <v>32</v>
      </c>
      <c r="C43" s="5" t="s">
        <v>1</v>
      </c>
      <c r="D43" s="5">
        <v>22</v>
      </c>
      <c r="E43" s="5">
        <v>10</v>
      </c>
      <c r="F43" s="18">
        <v>5</v>
      </c>
      <c r="G43" s="18">
        <v>15</v>
      </c>
      <c r="H43" s="13">
        <v>33000</v>
      </c>
      <c r="I43" s="5" t="s">
        <v>1</v>
      </c>
      <c r="J43" s="5">
        <v>15</v>
      </c>
      <c r="K43" s="5">
        <v>15</v>
      </c>
      <c r="L43" s="5"/>
      <c r="M43" s="5">
        <f t="shared" si="0"/>
        <v>15</v>
      </c>
      <c r="N43" s="30"/>
      <c r="O43" s="5" t="s">
        <v>1</v>
      </c>
      <c r="P43" s="5">
        <v>15</v>
      </c>
      <c r="Q43" s="18">
        <v>13</v>
      </c>
      <c r="R43" s="5"/>
      <c r="S43" s="5">
        <f t="shared" si="1"/>
        <v>13</v>
      </c>
      <c r="T43" s="41"/>
      <c r="U43" s="5" t="s">
        <v>1</v>
      </c>
      <c r="V43" s="5">
        <f t="shared" si="2"/>
        <v>13</v>
      </c>
      <c r="W43" s="5">
        <v>12</v>
      </c>
      <c r="X43" s="5"/>
      <c r="Y43" s="5">
        <f t="shared" si="3"/>
        <v>12</v>
      </c>
      <c r="Z43" s="41"/>
      <c r="AA43" s="5" t="s">
        <v>1</v>
      </c>
      <c r="AB43" s="5">
        <f t="shared" si="4"/>
        <v>12</v>
      </c>
      <c r="AC43" s="5">
        <v>12</v>
      </c>
      <c r="AD43" s="5"/>
      <c r="AE43" s="5">
        <f t="shared" si="5"/>
        <v>12</v>
      </c>
      <c r="AF43" s="30"/>
      <c r="AG43" s="5" t="s">
        <v>1</v>
      </c>
      <c r="AH43" s="5">
        <f t="shared" si="6"/>
        <v>12</v>
      </c>
      <c r="AI43" s="5">
        <v>12</v>
      </c>
      <c r="AJ43" s="5"/>
      <c r="AK43" s="5">
        <f t="shared" si="7"/>
        <v>12</v>
      </c>
      <c r="AL43" s="5"/>
      <c r="AM43" s="45"/>
    </row>
    <row r="44" spans="1:40" x14ac:dyDescent="0.2">
      <c r="A44" s="5">
        <v>39</v>
      </c>
      <c r="B44" s="6" t="s">
        <v>33</v>
      </c>
      <c r="C44" s="5" t="s">
        <v>1</v>
      </c>
      <c r="D44" s="71">
        <v>11</v>
      </c>
      <c r="E44" s="71">
        <v>11</v>
      </c>
      <c r="F44" s="18"/>
      <c r="G44" s="5">
        <v>11</v>
      </c>
      <c r="H44" s="13"/>
      <c r="I44" s="5" t="s">
        <v>1</v>
      </c>
      <c r="J44" s="5">
        <v>11</v>
      </c>
      <c r="K44" s="5">
        <v>11</v>
      </c>
      <c r="L44" s="5"/>
      <c r="M44" s="5">
        <f t="shared" si="0"/>
        <v>11</v>
      </c>
      <c r="N44" s="30"/>
      <c r="O44" s="5" t="s">
        <v>1</v>
      </c>
      <c r="P44" s="5">
        <v>11</v>
      </c>
      <c r="Q44" s="18">
        <v>11</v>
      </c>
      <c r="R44" s="5"/>
      <c r="S44" s="5">
        <f t="shared" si="1"/>
        <v>11</v>
      </c>
      <c r="T44" s="41"/>
      <c r="U44" s="5" t="s">
        <v>1</v>
      </c>
      <c r="V44" s="5">
        <f t="shared" si="2"/>
        <v>11</v>
      </c>
      <c r="W44" s="5">
        <v>11</v>
      </c>
      <c r="X44" s="5"/>
      <c r="Y44" s="5">
        <f t="shared" si="3"/>
        <v>11</v>
      </c>
      <c r="Z44" s="41"/>
      <c r="AA44" s="5" t="s">
        <v>1</v>
      </c>
      <c r="AB44" s="5">
        <f t="shared" si="4"/>
        <v>11</v>
      </c>
      <c r="AC44" s="5">
        <v>9</v>
      </c>
      <c r="AD44" s="5"/>
      <c r="AE44" s="5">
        <f t="shared" si="5"/>
        <v>9</v>
      </c>
      <c r="AF44" s="30"/>
      <c r="AG44" s="5" t="s">
        <v>1</v>
      </c>
      <c r="AH44" s="5">
        <f t="shared" si="6"/>
        <v>9</v>
      </c>
      <c r="AI44" s="5">
        <v>6</v>
      </c>
      <c r="AJ44" s="5"/>
      <c r="AK44" s="5">
        <f t="shared" si="7"/>
        <v>6</v>
      </c>
      <c r="AL44" s="5"/>
      <c r="AM44" s="45"/>
    </row>
    <row r="45" spans="1:40" x14ac:dyDescent="0.2">
      <c r="A45" s="5">
        <v>40</v>
      </c>
      <c r="B45" s="6" t="s">
        <v>34</v>
      </c>
      <c r="C45" s="5" t="s">
        <v>1</v>
      </c>
      <c r="D45" s="71">
        <v>10</v>
      </c>
      <c r="E45" s="71">
        <v>10</v>
      </c>
      <c r="F45" s="18"/>
      <c r="G45" s="5">
        <v>10</v>
      </c>
      <c r="H45" s="13"/>
      <c r="I45" s="5" t="s">
        <v>1</v>
      </c>
      <c r="J45" s="5">
        <v>10</v>
      </c>
      <c r="K45" s="5">
        <v>10</v>
      </c>
      <c r="L45" s="5"/>
      <c r="M45" s="5">
        <f t="shared" si="0"/>
        <v>10</v>
      </c>
      <c r="N45" s="30"/>
      <c r="O45" s="5" t="s">
        <v>1</v>
      </c>
      <c r="P45" s="5">
        <v>10</v>
      </c>
      <c r="Q45" s="18">
        <v>10</v>
      </c>
      <c r="R45" s="5"/>
      <c r="S45" s="5">
        <f t="shared" si="1"/>
        <v>10</v>
      </c>
      <c r="T45" s="41"/>
      <c r="U45" s="5" t="s">
        <v>1</v>
      </c>
      <c r="V45" s="5">
        <f t="shared" si="2"/>
        <v>10</v>
      </c>
      <c r="W45" s="5">
        <v>10</v>
      </c>
      <c r="X45" s="5"/>
      <c r="Y45" s="5">
        <f t="shared" si="3"/>
        <v>10</v>
      </c>
      <c r="Z45" s="41"/>
      <c r="AA45" s="5" t="s">
        <v>1</v>
      </c>
      <c r="AB45" s="5">
        <f t="shared" si="4"/>
        <v>10</v>
      </c>
      <c r="AC45" s="5">
        <v>8</v>
      </c>
      <c r="AD45" s="5"/>
      <c r="AE45" s="5">
        <f t="shared" si="5"/>
        <v>8</v>
      </c>
      <c r="AF45" s="30"/>
      <c r="AG45" s="5" t="s">
        <v>1</v>
      </c>
      <c r="AH45" s="5">
        <f t="shared" si="6"/>
        <v>8</v>
      </c>
      <c r="AI45" s="5">
        <v>8</v>
      </c>
      <c r="AJ45" s="5"/>
      <c r="AK45" s="5">
        <f t="shared" si="7"/>
        <v>8</v>
      </c>
      <c r="AL45" s="5"/>
      <c r="AM45" s="45"/>
    </row>
    <row r="46" spans="1:40" x14ac:dyDescent="0.2">
      <c r="A46" s="5">
        <v>41</v>
      </c>
      <c r="B46" s="3" t="s">
        <v>85</v>
      </c>
      <c r="C46" s="18" t="s">
        <v>1</v>
      </c>
      <c r="D46" s="19">
        <v>3</v>
      </c>
      <c r="E46" s="19">
        <v>3</v>
      </c>
      <c r="F46" s="18"/>
      <c r="G46" s="19">
        <v>3</v>
      </c>
      <c r="H46" s="16"/>
      <c r="I46" s="18" t="s">
        <v>1</v>
      </c>
      <c r="J46" s="32">
        <v>3</v>
      </c>
      <c r="K46" s="5">
        <v>3</v>
      </c>
      <c r="L46" s="5"/>
      <c r="M46" s="5">
        <f t="shared" si="0"/>
        <v>3</v>
      </c>
      <c r="N46" s="30"/>
      <c r="O46" s="18" t="s">
        <v>1</v>
      </c>
      <c r="P46" s="5">
        <v>3</v>
      </c>
      <c r="Q46" s="18">
        <v>3</v>
      </c>
      <c r="R46" s="5"/>
      <c r="S46" s="5">
        <f t="shared" si="1"/>
        <v>3</v>
      </c>
      <c r="T46" s="41"/>
      <c r="U46" s="18" t="s">
        <v>1</v>
      </c>
      <c r="V46" s="5">
        <f t="shared" si="2"/>
        <v>3</v>
      </c>
      <c r="W46" s="5">
        <v>3</v>
      </c>
      <c r="X46" s="5"/>
      <c r="Y46" s="5">
        <f t="shared" si="3"/>
        <v>3</v>
      </c>
      <c r="Z46" s="41"/>
      <c r="AA46" s="18" t="s">
        <v>1</v>
      </c>
      <c r="AB46" s="5">
        <f t="shared" si="4"/>
        <v>3</v>
      </c>
      <c r="AC46" s="5">
        <v>3</v>
      </c>
      <c r="AD46" s="5"/>
      <c r="AE46" s="5">
        <f t="shared" si="5"/>
        <v>3</v>
      </c>
      <c r="AF46" s="30"/>
      <c r="AG46" s="18" t="s">
        <v>1</v>
      </c>
      <c r="AH46" s="5">
        <f t="shared" si="6"/>
        <v>3</v>
      </c>
      <c r="AI46" s="5">
        <v>3</v>
      </c>
      <c r="AJ46" s="5"/>
      <c r="AK46" s="5">
        <f t="shared" si="7"/>
        <v>3</v>
      </c>
      <c r="AL46" s="5"/>
      <c r="AM46" s="45"/>
    </row>
    <row r="47" spans="1:40" x14ac:dyDescent="0.2">
      <c r="A47" s="5">
        <v>42</v>
      </c>
      <c r="B47" s="3" t="s">
        <v>89</v>
      </c>
      <c r="C47" s="18" t="s">
        <v>1</v>
      </c>
      <c r="D47" s="19">
        <v>1</v>
      </c>
      <c r="E47" s="19">
        <v>1</v>
      </c>
      <c r="F47" s="18"/>
      <c r="G47" s="19">
        <v>1</v>
      </c>
      <c r="H47" s="16"/>
      <c r="I47" s="18" t="s">
        <v>1</v>
      </c>
      <c r="J47" s="32">
        <v>1</v>
      </c>
      <c r="K47" s="5">
        <v>1</v>
      </c>
      <c r="L47" s="5"/>
      <c r="M47" s="5">
        <f t="shared" si="0"/>
        <v>1</v>
      </c>
      <c r="N47" s="30"/>
      <c r="O47" s="18" t="s">
        <v>1</v>
      </c>
      <c r="P47" s="5">
        <v>1</v>
      </c>
      <c r="Q47" s="18">
        <v>1</v>
      </c>
      <c r="R47" s="5"/>
      <c r="S47" s="5">
        <f t="shared" si="1"/>
        <v>1</v>
      </c>
      <c r="T47" s="41"/>
      <c r="U47" s="18" t="s">
        <v>1</v>
      </c>
      <c r="V47" s="5">
        <f t="shared" si="2"/>
        <v>1</v>
      </c>
      <c r="W47" s="5">
        <v>1</v>
      </c>
      <c r="X47" s="5"/>
      <c r="Y47" s="5">
        <f t="shared" si="3"/>
        <v>1</v>
      </c>
      <c r="Z47" s="41"/>
      <c r="AA47" s="18" t="s">
        <v>1</v>
      </c>
      <c r="AB47" s="5">
        <f t="shared" si="4"/>
        <v>1</v>
      </c>
      <c r="AC47" s="5">
        <v>1</v>
      </c>
      <c r="AD47" s="5"/>
      <c r="AE47" s="5">
        <f t="shared" si="5"/>
        <v>1</v>
      </c>
      <c r="AF47" s="30"/>
      <c r="AG47" s="18" t="s">
        <v>1</v>
      </c>
      <c r="AH47" s="5">
        <f t="shared" si="6"/>
        <v>1</v>
      </c>
      <c r="AI47" s="5">
        <v>1</v>
      </c>
      <c r="AJ47" s="5"/>
      <c r="AK47" s="5">
        <f t="shared" si="7"/>
        <v>1</v>
      </c>
      <c r="AL47" s="5"/>
      <c r="AM47" s="45"/>
    </row>
    <row r="48" spans="1:40" x14ac:dyDescent="0.2">
      <c r="A48" s="5">
        <v>43</v>
      </c>
      <c r="B48" s="3" t="s">
        <v>108</v>
      </c>
      <c r="C48" s="18" t="s">
        <v>1</v>
      </c>
      <c r="D48" s="19">
        <v>1</v>
      </c>
      <c r="E48" s="19">
        <v>0</v>
      </c>
      <c r="F48" s="18">
        <v>3</v>
      </c>
      <c r="G48" s="18">
        <v>3</v>
      </c>
      <c r="H48" s="16">
        <v>45000</v>
      </c>
      <c r="I48" s="18" t="s">
        <v>1</v>
      </c>
      <c r="J48" s="5">
        <v>3</v>
      </c>
      <c r="K48" s="5">
        <v>3</v>
      </c>
      <c r="L48" s="5"/>
      <c r="M48" s="5">
        <f t="shared" si="0"/>
        <v>3</v>
      </c>
      <c r="N48" s="30"/>
      <c r="O48" s="18" t="s">
        <v>1</v>
      </c>
      <c r="P48" s="5">
        <v>3</v>
      </c>
      <c r="Q48" s="18">
        <v>3</v>
      </c>
      <c r="R48" s="5"/>
      <c r="S48" s="5">
        <f t="shared" si="1"/>
        <v>3</v>
      </c>
      <c r="T48" s="41"/>
      <c r="U48" s="18" t="s">
        <v>1</v>
      </c>
      <c r="V48" s="5">
        <f t="shared" si="2"/>
        <v>3</v>
      </c>
      <c r="W48" s="5">
        <v>2</v>
      </c>
      <c r="X48" s="5"/>
      <c r="Y48" s="5">
        <f t="shared" si="3"/>
        <v>2</v>
      </c>
      <c r="Z48" s="41"/>
      <c r="AA48" s="18" t="s">
        <v>1</v>
      </c>
      <c r="AB48" s="5">
        <f t="shared" si="4"/>
        <v>2</v>
      </c>
      <c r="AC48" s="5">
        <v>1</v>
      </c>
      <c r="AD48" s="5"/>
      <c r="AE48" s="5">
        <f t="shared" si="5"/>
        <v>1</v>
      </c>
      <c r="AF48" s="30"/>
      <c r="AG48" s="18" t="s">
        <v>1</v>
      </c>
      <c r="AH48" s="5">
        <f t="shared" si="6"/>
        <v>1</v>
      </c>
      <c r="AI48" s="5">
        <v>1</v>
      </c>
      <c r="AJ48" s="5"/>
      <c r="AK48" s="5">
        <f t="shared" si="7"/>
        <v>1</v>
      </c>
      <c r="AL48" s="5"/>
      <c r="AM48" s="45"/>
    </row>
    <row r="49" spans="1:39" x14ac:dyDescent="0.2">
      <c r="A49" s="5">
        <v>44</v>
      </c>
      <c r="B49" s="3" t="s">
        <v>86</v>
      </c>
      <c r="C49" s="18" t="s">
        <v>1</v>
      </c>
      <c r="D49" s="19">
        <v>26</v>
      </c>
      <c r="E49" s="19">
        <v>24</v>
      </c>
      <c r="F49" s="18"/>
      <c r="G49" s="19">
        <v>24</v>
      </c>
      <c r="H49" s="16"/>
      <c r="I49" s="18" t="s">
        <v>1</v>
      </c>
      <c r="J49" s="32">
        <v>24</v>
      </c>
      <c r="K49" s="5">
        <v>24</v>
      </c>
      <c r="L49" s="5"/>
      <c r="M49" s="5">
        <f t="shared" si="0"/>
        <v>24</v>
      </c>
      <c r="N49" s="30"/>
      <c r="O49" s="18" t="s">
        <v>1</v>
      </c>
      <c r="P49" s="5">
        <v>24</v>
      </c>
      <c r="Q49" s="18">
        <v>24</v>
      </c>
      <c r="R49" s="5"/>
      <c r="S49" s="5">
        <f t="shared" si="1"/>
        <v>24</v>
      </c>
      <c r="T49" s="41"/>
      <c r="U49" s="18" t="s">
        <v>1</v>
      </c>
      <c r="V49" s="5">
        <f t="shared" si="2"/>
        <v>24</v>
      </c>
      <c r="W49" s="5">
        <v>24</v>
      </c>
      <c r="X49" s="5"/>
      <c r="Y49" s="5">
        <f t="shared" si="3"/>
        <v>24</v>
      </c>
      <c r="Z49" s="41"/>
      <c r="AA49" s="18" t="s">
        <v>1</v>
      </c>
      <c r="AB49" s="5">
        <f t="shared" si="4"/>
        <v>24</v>
      </c>
      <c r="AC49" s="5">
        <v>24</v>
      </c>
      <c r="AD49" s="5"/>
      <c r="AE49" s="5">
        <f t="shared" si="5"/>
        <v>24</v>
      </c>
      <c r="AF49" s="30"/>
      <c r="AG49" s="18" t="s">
        <v>1</v>
      </c>
      <c r="AH49" s="5">
        <f t="shared" si="6"/>
        <v>24</v>
      </c>
      <c r="AI49" s="5">
        <v>24</v>
      </c>
      <c r="AJ49" s="5"/>
      <c r="AK49" s="5">
        <f t="shared" si="7"/>
        <v>24</v>
      </c>
      <c r="AL49" s="5"/>
      <c r="AM49" s="45"/>
    </row>
    <row r="50" spans="1:39" x14ac:dyDescent="0.2">
      <c r="A50" s="5">
        <v>45</v>
      </c>
      <c r="B50" s="3" t="s">
        <v>83</v>
      </c>
      <c r="C50" s="18" t="s">
        <v>1</v>
      </c>
      <c r="D50" s="19">
        <v>1</v>
      </c>
      <c r="E50" s="19">
        <v>1</v>
      </c>
      <c r="F50" s="18"/>
      <c r="G50" s="19">
        <v>1</v>
      </c>
      <c r="H50" s="16"/>
      <c r="I50" s="18" t="s">
        <v>1</v>
      </c>
      <c r="J50" s="32">
        <v>1</v>
      </c>
      <c r="K50" s="5">
        <v>1</v>
      </c>
      <c r="L50" s="5"/>
      <c r="M50" s="5">
        <f t="shared" si="0"/>
        <v>1</v>
      </c>
      <c r="N50" s="30"/>
      <c r="O50" s="18" t="s">
        <v>1</v>
      </c>
      <c r="P50" s="5">
        <v>1</v>
      </c>
      <c r="Q50" s="18">
        <v>1</v>
      </c>
      <c r="R50" s="5"/>
      <c r="S50" s="5">
        <f t="shared" si="1"/>
        <v>1</v>
      </c>
      <c r="T50" s="41"/>
      <c r="U50" s="18" t="s">
        <v>1</v>
      </c>
      <c r="V50" s="5">
        <f t="shared" si="2"/>
        <v>1</v>
      </c>
      <c r="W50" s="5">
        <v>1</v>
      </c>
      <c r="X50" s="5"/>
      <c r="Y50" s="5">
        <f t="shared" si="3"/>
        <v>1</v>
      </c>
      <c r="Z50" s="41"/>
      <c r="AA50" s="18" t="s">
        <v>1</v>
      </c>
      <c r="AB50" s="5">
        <f t="shared" si="4"/>
        <v>1</v>
      </c>
      <c r="AC50" s="5">
        <v>1</v>
      </c>
      <c r="AD50" s="5"/>
      <c r="AE50" s="5">
        <f t="shared" si="5"/>
        <v>1</v>
      </c>
      <c r="AF50" s="30"/>
      <c r="AG50" s="18" t="s">
        <v>1</v>
      </c>
      <c r="AH50" s="5">
        <f t="shared" si="6"/>
        <v>1</v>
      </c>
      <c r="AI50" s="5">
        <v>1</v>
      </c>
      <c r="AJ50" s="5"/>
      <c r="AK50" s="5">
        <f t="shared" si="7"/>
        <v>1</v>
      </c>
      <c r="AL50" s="5"/>
      <c r="AM50" s="45"/>
    </row>
    <row r="51" spans="1:39" x14ac:dyDescent="0.2">
      <c r="A51" s="5">
        <v>46</v>
      </c>
      <c r="B51" s="6" t="s">
        <v>111</v>
      </c>
      <c r="C51" s="5" t="s">
        <v>1</v>
      </c>
      <c r="D51" s="5">
        <v>5</v>
      </c>
      <c r="E51" s="5">
        <v>3</v>
      </c>
      <c r="F51" s="18">
        <v>1</v>
      </c>
      <c r="G51" s="18">
        <v>4</v>
      </c>
      <c r="H51" s="13">
        <v>9800</v>
      </c>
      <c r="I51" s="5" t="s">
        <v>1</v>
      </c>
      <c r="J51" s="5">
        <v>4</v>
      </c>
      <c r="K51" s="5">
        <v>2</v>
      </c>
      <c r="L51" s="5">
        <v>5</v>
      </c>
      <c r="M51" s="5">
        <f t="shared" si="0"/>
        <v>7</v>
      </c>
      <c r="N51" s="30">
        <v>32500</v>
      </c>
      <c r="O51" s="5" t="s">
        <v>1</v>
      </c>
      <c r="P51" s="5">
        <v>7</v>
      </c>
      <c r="Q51" s="18">
        <v>4</v>
      </c>
      <c r="R51" s="5">
        <v>5</v>
      </c>
      <c r="S51" s="5">
        <f t="shared" si="1"/>
        <v>9</v>
      </c>
      <c r="T51" s="41">
        <v>30000</v>
      </c>
      <c r="U51" s="5" t="s">
        <v>1</v>
      </c>
      <c r="V51" s="5">
        <f t="shared" si="2"/>
        <v>9</v>
      </c>
      <c r="W51" s="5">
        <v>5</v>
      </c>
      <c r="X51" s="5"/>
      <c r="Y51" s="5">
        <f t="shared" si="3"/>
        <v>5</v>
      </c>
      <c r="Z51" s="41"/>
      <c r="AA51" s="5" t="s">
        <v>1</v>
      </c>
      <c r="AB51" s="5">
        <f t="shared" si="4"/>
        <v>5</v>
      </c>
      <c r="AC51" s="5">
        <v>1</v>
      </c>
      <c r="AD51" s="5">
        <v>5</v>
      </c>
      <c r="AE51" s="5">
        <f t="shared" si="5"/>
        <v>6</v>
      </c>
      <c r="AF51" s="30">
        <v>45000</v>
      </c>
      <c r="AG51" s="5" t="s">
        <v>1</v>
      </c>
      <c r="AH51" s="5">
        <f t="shared" si="6"/>
        <v>6</v>
      </c>
      <c r="AI51" s="5">
        <v>5</v>
      </c>
      <c r="AJ51" s="5"/>
      <c r="AK51" s="5">
        <f t="shared" si="7"/>
        <v>5</v>
      </c>
      <c r="AL51" s="5"/>
      <c r="AM51" s="45"/>
    </row>
    <row r="52" spans="1:39" x14ac:dyDescent="0.2">
      <c r="A52" s="5">
        <v>47</v>
      </c>
      <c r="B52" s="6" t="s">
        <v>112</v>
      </c>
      <c r="C52" s="5" t="s">
        <v>1</v>
      </c>
      <c r="D52" s="5">
        <v>5</v>
      </c>
      <c r="E52" s="5">
        <v>2</v>
      </c>
      <c r="F52" s="18">
        <v>2</v>
      </c>
      <c r="G52" s="18">
        <v>4</v>
      </c>
      <c r="H52" s="13">
        <v>19600</v>
      </c>
      <c r="I52" s="5" t="s">
        <v>1</v>
      </c>
      <c r="J52" s="5">
        <v>4</v>
      </c>
      <c r="K52" s="5">
        <v>1</v>
      </c>
      <c r="L52" s="5">
        <v>5</v>
      </c>
      <c r="M52" s="5">
        <f t="shared" si="0"/>
        <v>6</v>
      </c>
      <c r="N52" s="30">
        <v>33000</v>
      </c>
      <c r="O52" s="5" t="s">
        <v>1</v>
      </c>
      <c r="P52" s="5">
        <v>6</v>
      </c>
      <c r="Q52" s="18">
        <v>2</v>
      </c>
      <c r="R52" s="5">
        <v>5</v>
      </c>
      <c r="S52" s="5">
        <f t="shared" si="1"/>
        <v>7</v>
      </c>
      <c r="T52" s="41">
        <v>33000</v>
      </c>
      <c r="U52" s="5" t="s">
        <v>1</v>
      </c>
      <c r="V52" s="5">
        <f t="shared" si="2"/>
        <v>7</v>
      </c>
      <c r="W52" s="5">
        <v>1</v>
      </c>
      <c r="X52" s="5">
        <v>5</v>
      </c>
      <c r="Y52" s="5">
        <f t="shared" si="3"/>
        <v>6</v>
      </c>
      <c r="Z52" s="41">
        <v>50000</v>
      </c>
      <c r="AA52" s="5" t="s">
        <v>1</v>
      </c>
      <c r="AB52" s="5">
        <f t="shared" si="4"/>
        <v>6</v>
      </c>
      <c r="AC52" s="5">
        <v>1</v>
      </c>
      <c r="AD52" s="5">
        <v>5</v>
      </c>
      <c r="AE52" s="5">
        <f t="shared" si="5"/>
        <v>6</v>
      </c>
      <c r="AF52" s="30">
        <v>60000</v>
      </c>
      <c r="AG52" s="5" t="s">
        <v>1</v>
      </c>
      <c r="AH52" s="5">
        <f t="shared" si="6"/>
        <v>6</v>
      </c>
      <c r="AI52" s="5">
        <v>2</v>
      </c>
      <c r="AJ52" s="5">
        <v>5</v>
      </c>
      <c r="AK52" s="5">
        <f t="shared" si="7"/>
        <v>7</v>
      </c>
      <c r="AL52" s="5"/>
      <c r="AM52" s="45"/>
    </row>
    <row r="53" spans="1:39" x14ac:dyDescent="0.2">
      <c r="A53" s="5">
        <v>48</v>
      </c>
      <c r="B53" s="6" t="s">
        <v>113</v>
      </c>
      <c r="C53" s="5" t="s">
        <v>1</v>
      </c>
      <c r="D53" s="5">
        <v>5</v>
      </c>
      <c r="E53" s="5">
        <v>2</v>
      </c>
      <c r="F53" s="18">
        <v>2</v>
      </c>
      <c r="G53" s="18">
        <v>4</v>
      </c>
      <c r="H53" s="13">
        <v>19600</v>
      </c>
      <c r="I53" s="5" t="s">
        <v>1</v>
      </c>
      <c r="J53" s="5">
        <v>4</v>
      </c>
      <c r="K53" s="5">
        <v>2</v>
      </c>
      <c r="L53" s="5">
        <v>5</v>
      </c>
      <c r="M53" s="5">
        <f t="shared" si="0"/>
        <v>7</v>
      </c>
      <c r="N53" s="30">
        <v>49000</v>
      </c>
      <c r="O53" s="5" t="s">
        <v>1</v>
      </c>
      <c r="P53" s="5">
        <v>7</v>
      </c>
      <c r="Q53" s="18">
        <v>3</v>
      </c>
      <c r="R53" s="5"/>
      <c r="S53" s="5">
        <f t="shared" si="1"/>
        <v>3</v>
      </c>
      <c r="T53" s="41"/>
      <c r="U53" s="5" t="s">
        <v>1</v>
      </c>
      <c r="V53" s="5">
        <f t="shared" si="2"/>
        <v>3</v>
      </c>
      <c r="W53" s="5">
        <v>2</v>
      </c>
      <c r="X53" s="5">
        <v>3</v>
      </c>
      <c r="Y53" s="5">
        <f t="shared" si="3"/>
        <v>5</v>
      </c>
      <c r="Z53" s="41">
        <v>48000</v>
      </c>
      <c r="AA53" s="5" t="s">
        <v>1</v>
      </c>
      <c r="AB53" s="5">
        <f t="shared" si="4"/>
        <v>5</v>
      </c>
      <c r="AC53" s="5">
        <v>3</v>
      </c>
      <c r="AD53" s="5"/>
      <c r="AE53" s="5">
        <f t="shared" si="5"/>
        <v>3</v>
      </c>
      <c r="AF53" s="30"/>
      <c r="AG53" s="5" t="s">
        <v>1</v>
      </c>
      <c r="AH53" s="5">
        <f t="shared" si="6"/>
        <v>3</v>
      </c>
      <c r="AI53" s="5">
        <v>2</v>
      </c>
      <c r="AJ53" s="5">
        <v>1</v>
      </c>
      <c r="AK53" s="5">
        <f t="shared" si="7"/>
        <v>3</v>
      </c>
      <c r="AL53" s="5"/>
      <c r="AM53" s="45"/>
    </row>
    <row r="54" spans="1:39" x14ac:dyDescent="0.2">
      <c r="A54" s="5">
        <v>49</v>
      </c>
      <c r="B54" s="6" t="s">
        <v>35</v>
      </c>
      <c r="C54" s="5" t="s">
        <v>1</v>
      </c>
      <c r="D54" s="5">
        <v>2</v>
      </c>
      <c r="E54" s="5">
        <v>2</v>
      </c>
      <c r="F54" s="18"/>
      <c r="G54" s="5">
        <v>2</v>
      </c>
      <c r="H54" s="13"/>
      <c r="I54" s="5" t="s">
        <v>1</v>
      </c>
      <c r="J54" s="5">
        <v>2</v>
      </c>
      <c r="K54" s="5">
        <v>2</v>
      </c>
      <c r="L54" s="5"/>
      <c r="M54" s="5">
        <f t="shared" si="0"/>
        <v>2</v>
      </c>
      <c r="N54" s="30"/>
      <c r="O54" s="5" t="s">
        <v>1</v>
      </c>
      <c r="P54" s="5">
        <v>2</v>
      </c>
      <c r="Q54" s="18">
        <v>1</v>
      </c>
      <c r="R54" s="5"/>
      <c r="S54" s="5">
        <f t="shared" si="1"/>
        <v>1</v>
      </c>
      <c r="T54" s="41"/>
      <c r="U54" s="5" t="s">
        <v>1</v>
      </c>
      <c r="V54" s="5">
        <f t="shared" si="2"/>
        <v>1</v>
      </c>
      <c r="W54" s="5">
        <v>1</v>
      </c>
      <c r="X54" s="5"/>
      <c r="Y54" s="5">
        <f t="shared" si="3"/>
        <v>1</v>
      </c>
      <c r="Z54" s="41"/>
      <c r="AA54" s="5" t="s">
        <v>1</v>
      </c>
      <c r="AB54" s="5">
        <f t="shared" si="4"/>
        <v>1</v>
      </c>
      <c r="AC54" s="5">
        <v>1</v>
      </c>
      <c r="AD54" s="5"/>
      <c r="AE54" s="5">
        <f t="shared" si="5"/>
        <v>1</v>
      </c>
      <c r="AF54" s="30"/>
      <c r="AG54" s="5" t="s">
        <v>1</v>
      </c>
      <c r="AH54" s="5">
        <f t="shared" si="6"/>
        <v>1</v>
      </c>
      <c r="AI54" s="5">
        <v>0</v>
      </c>
      <c r="AJ54" s="5">
        <v>3</v>
      </c>
      <c r="AK54" s="5">
        <f t="shared" si="7"/>
        <v>3</v>
      </c>
      <c r="AL54" s="5"/>
      <c r="AM54" s="45"/>
    </row>
    <row r="55" spans="1:39" x14ac:dyDescent="0.2">
      <c r="A55" s="5">
        <v>50</v>
      </c>
      <c r="B55" s="6" t="s">
        <v>70</v>
      </c>
      <c r="C55" s="5" t="s">
        <v>1</v>
      </c>
      <c r="D55" s="5">
        <v>13</v>
      </c>
      <c r="E55" s="5">
        <v>13</v>
      </c>
      <c r="F55" s="18"/>
      <c r="G55" s="5">
        <v>13</v>
      </c>
      <c r="H55" s="13"/>
      <c r="I55" s="5" t="s">
        <v>1</v>
      </c>
      <c r="J55" s="5">
        <v>13</v>
      </c>
      <c r="K55" s="5">
        <v>12</v>
      </c>
      <c r="L55" s="5"/>
      <c r="M55" s="5">
        <f t="shared" si="0"/>
        <v>12</v>
      </c>
      <c r="N55" s="30"/>
      <c r="O55" s="5" t="s">
        <v>1</v>
      </c>
      <c r="P55" s="5">
        <v>12</v>
      </c>
      <c r="Q55" s="18">
        <v>11</v>
      </c>
      <c r="R55" s="5"/>
      <c r="S55" s="5">
        <f t="shared" si="1"/>
        <v>11</v>
      </c>
      <c r="T55" s="41"/>
      <c r="U55" s="5" t="s">
        <v>1</v>
      </c>
      <c r="V55" s="5">
        <f t="shared" si="2"/>
        <v>11</v>
      </c>
      <c r="W55" s="5">
        <v>10</v>
      </c>
      <c r="X55" s="5"/>
      <c r="Y55" s="5">
        <f t="shared" si="3"/>
        <v>10</v>
      </c>
      <c r="Z55" s="41"/>
      <c r="AA55" s="5" t="s">
        <v>1</v>
      </c>
      <c r="AB55" s="5">
        <f t="shared" si="4"/>
        <v>10</v>
      </c>
      <c r="AC55" s="5">
        <v>9</v>
      </c>
      <c r="AD55" s="5"/>
      <c r="AE55" s="5">
        <f t="shared" si="5"/>
        <v>9</v>
      </c>
      <c r="AF55" s="30"/>
      <c r="AG55" s="5" t="s">
        <v>1</v>
      </c>
      <c r="AH55" s="5">
        <f t="shared" si="6"/>
        <v>9</v>
      </c>
      <c r="AI55" s="5">
        <v>9</v>
      </c>
      <c r="AJ55" s="5"/>
      <c r="AK55" s="5">
        <f t="shared" si="7"/>
        <v>9</v>
      </c>
      <c r="AL55" s="5"/>
      <c r="AM55" s="45"/>
    </row>
    <row r="56" spans="1:39" x14ac:dyDescent="0.2">
      <c r="A56" s="5">
        <v>51</v>
      </c>
      <c r="B56" s="6" t="s">
        <v>71</v>
      </c>
      <c r="C56" s="5" t="s">
        <v>1</v>
      </c>
      <c r="D56" s="5">
        <v>19</v>
      </c>
      <c r="E56" s="5">
        <v>17</v>
      </c>
      <c r="F56" s="18"/>
      <c r="G56" s="5">
        <v>17</v>
      </c>
      <c r="H56" s="13"/>
      <c r="I56" s="5" t="s">
        <v>1</v>
      </c>
      <c r="J56" s="5">
        <v>17</v>
      </c>
      <c r="K56" s="5">
        <v>15</v>
      </c>
      <c r="L56" s="5"/>
      <c r="M56" s="5">
        <f t="shared" si="0"/>
        <v>15</v>
      </c>
      <c r="N56" s="30"/>
      <c r="O56" s="5" t="s">
        <v>1</v>
      </c>
      <c r="P56" s="5">
        <v>15</v>
      </c>
      <c r="Q56" s="18">
        <v>13</v>
      </c>
      <c r="R56" s="5"/>
      <c r="S56" s="5">
        <f t="shared" si="1"/>
        <v>13</v>
      </c>
      <c r="T56" s="41"/>
      <c r="U56" s="5" t="s">
        <v>1</v>
      </c>
      <c r="V56" s="5">
        <f t="shared" si="2"/>
        <v>13</v>
      </c>
      <c r="W56" s="5">
        <v>11</v>
      </c>
      <c r="X56" s="5"/>
      <c r="Y56" s="5">
        <f t="shared" si="3"/>
        <v>11</v>
      </c>
      <c r="Z56" s="41"/>
      <c r="AA56" s="5" t="s">
        <v>1</v>
      </c>
      <c r="AB56" s="5">
        <f t="shared" si="4"/>
        <v>11</v>
      </c>
      <c r="AC56" s="5">
        <v>9</v>
      </c>
      <c r="AD56" s="5"/>
      <c r="AE56" s="5">
        <f t="shared" si="5"/>
        <v>9</v>
      </c>
      <c r="AF56" s="30"/>
      <c r="AG56" s="5" t="s">
        <v>1</v>
      </c>
      <c r="AH56" s="5">
        <f t="shared" si="6"/>
        <v>9</v>
      </c>
      <c r="AI56" s="5">
        <v>7</v>
      </c>
      <c r="AJ56" s="5"/>
      <c r="AK56" s="5">
        <f t="shared" si="7"/>
        <v>7</v>
      </c>
      <c r="AL56" s="5"/>
      <c r="AM56" s="45"/>
    </row>
    <row r="57" spans="1:39" x14ac:dyDescent="0.2">
      <c r="A57" s="5">
        <v>52</v>
      </c>
      <c r="B57" s="6" t="s">
        <v>72</v>
      </c>
      <c r="C57" s="5" t="s">
        <v>1</v>
      </c>
      <c r="D57" s="5">
        <v>3</v>
      </c>
      <c r="E57" s="5">
        <v>3</v>
      </c>
      <c r="F57" s="18"/>
      <c r="G57" s="5">
        <v>3</v>
      </c>
      <c r="H57" s="13"/>
      <c r="I57" s="5" t="s">
        <v>1</v>
      </c>
      <c r="J57" s="5">
        <v>3</v>
      </c>
      <c r="K57" s="5">
        <v>3</v>
      </c>
      <c r="L57" s="5"/>
      <c r="M57" s="5">
        <f t="shared" si="0"/>
        <v>3</v>
      </c>
      <c r="N57" s="30"/>
      <c r="O57" s="5" t="s">
        <v>1</v>
      </c>
      <c r="P57" s="5">
        <v>3</v>
      </c>
      <c r="Q57" s="18">
        <v>3</v>
      </c>
      <c r="R57" s="5"/>
      <c r="S57" s="5">
        <f t="shared" si="1"/>
        <v>3</v>
      </c>
      <c r="T57" s="41"/>
      <c r="U57" s="5" t="s">
        <v>1</v>
      </c>
      <c r="V57" s="5">
        <f t="shared" si="2"/>
        <v>3</v>
      </c>
      <c r="W57" s="5">
        <v>3</v>
      </c>
      <c r="X57" s="5"/>
      <c r="Y57" s="5">
        <f t="shared" si="3"/>
        <v>3</v>
      </c>
      <c r="Z57" s="41"/>
      <c r="AA57" s="5" t="s">
        <v>1</v>
      </c>
      <c r="AB57" s="5">
        <f t="shared" si="4"/>
        <v>3</v>
      </c>
      <c r="AC57" s="5">
        <v>3</v>
      </c>
      <c r="AD57" s="5"/>
      <c r="AE57" s="5">
        <f t="shared" si="5"/>
        <v>3</v>
      </c>
      <c r="AF57" s="30"/>
      <c r="AG57" s="5" t="s">
        <v>1</v>
      </c>
      <c r="AH57" s="5">
        <f t="shared" si="6"/>
        <v>3</v>
      </c>
      <c r="AI57" s="5">
        <v>3</v>
      </c>
      <c r="AJ57" s="5"/>
      <c r="AK57" s="5">
        <f t="shared" si="7"/>
        <v>3</v>
      </c>
      <c r="AL57" s="5"/>
      <c r="AM57" s="45"/>
    </row>
    <row r="58" spans="1:39" x14ac:dyDescent="0.2">
      <c r="A58" s="5">
        <v>53</v>
      </c>
      <c r="B58" s="6" t="s">
        <v>38</v>
      </c>
      <c r="C58" s="5" t="s">
        <v>1</v>
      </c>
      <c r="D58" s="5">
        <v>413</v>
      </c>
      <c r="E58" s="26" t="s">
        <v>103</v>
      </c>
      <c r="F58" s="18"/>
      <c r="G58" s="26" t="s">
        <v>103</v>
      </c>
      <c r="H58" s="13"/>
      <c r="I58" s="5" t="s">
        <v>1</v>
      </c>
      <c r="J58" s="26" t="s">
        <v>103</v>
      </c>
      <c r="K58" s="26" t="s">
        <v>103</v>
      </c>
      <c r="L58" s="5"/>
      <c r="M58" s="26" t="s">
        <v>103</v>
      </c>
      <c r="N58" s="30"/>
      <c r="O58" s="5" t="s">
        <v>1</v>
      </c>
      <c r="P58" s="26" t="s">
        <v>103</v>
      </c>
      <c r="Q58" s="18"/>
      <c r="R58" s="5"/>
      <c r="S58" s="26" t="s">
        <v>103</v>
      </c>
      <c r="T58" s="41"/>
      <c r="U58" s="5" t="s">
        <v>1</v>
      </c>
      <c r="V58" s="26" t="s">
        <v>103</v>
      </c>
      <c r="W58" s="26" t="s">
        <v>103</v>
      </c>
      <c r="X58" s="26" t="s">
        <v>103</v>
      </c>
      <c r="Y58" s="26" t="s">
        <v>103</v>
      </c>
      <c r="Z58" s="41"/>
      <c r="AA58" s="5" t="s">
        <v>1</v>
      </c>
      <c r="AB58" s="5" t="str">
        <f t="shared" si="4"/>
        <v>-</v>
      </c>
      <c r="AC58" s="26" t="s">
        <v>103</v>
      </c>
      <c r="AD58" s="5"/>
      <c r="AE58" s="26" t="s">
        <v>103</v>
      </c>
      <c r="AF58" s="30"/>
      <c r="AG58" s="5" t="s">
        <v>1</v>
      </c>
      <c r="AH58" s="5" t="str">
        <f t="shared" si="6"/>
        <v>-</v>
      </c>
      <c r="AI58" s="26" t="s">
        <v>103</v>
      </c>
      <c r="AJ58" s="5"/>
      <c r="AK58" s="5" t="e">
        <f t="shared" si="7"/>
        <v>#VALUE!</v>
      </c>
      <c r="AL58" s="5"/>
      <c r="AM58" s="45"/>
    </row>
    <row r="59" spans="1:39" x14ac:dyDescent="0.2">
      <c r="A59" s="5">
        <v>54</v>
      </c>
      <c r="B59" s="6" t="s">
        <v>40</v>
      </c>
      <c r="C59" s="5" t="s">
        <v>1</v>
      </c>
      <c r="D59" s="5">
        <v>2</v>
      </c>
      <c r="E59" s="5">
        <v>2</v>
      </c>
      <c r="F59" s="18"/>
      <c r="G59" s="5">
        <v>2</v>
      </c>
      <c r="H59" s="13"/>
      <c r="I59" s="5" t="s">
        <v>1</v>
      </c>
      <c r="J59" s="5">
        <v>2</v>
      </c>
      <c r="K59" s="5">
        <v>2</v>
      </c>
      <c r="L59" s="5"/>
      <c r="M59" s="5">
        <f t="shared" si="0"/>
        <v>2</v>
      </c>
      <c r="N59" s="30"/>
      <c r="O59" s="5" t="s">
        <v>1</v>
      </c>
      <c r="P59" s="5">
        <v>2</v>
      </c>
      <c r="Q59" s="18">
        <v>1</v>
      </c>
      <c r="R59" s="5">
        <v>5</v>
      </c>
      <c r="S59" s="5">
        <f t="shared" si="1"/>
        <v>6</v>
      </c>
      <c r="T59" s="41">
        <v>40000</v>
      </c>
      <c r="U59" s="5" t="s">
        <v>1</v>
      </c>
      <c r="V59" s="5">
        <f t="shared" si="2"/>
        <v>6</v>
      </c>
      <c r="W59" s="5">
        <v>2</v>
      </c>
      <c r="X59" s="5">
        <v>10</v>
      </c>
      <c r="Y59" s="5">
        <f t="shared" si="3"/>
        <v>12</v>
      </c>
      <c r="Z59" s="41">
        <v>140000</v>
      </c>
      <c r="AA59" s="5" t="s">
        <v>1</v>
      </c>
      <c r="AB59" s="5">
        <f t="shared" si="4"/>
        <v>12</v>
      </c>
      <c r="AC59" s="5">
        <v>8</v>
      </c>
      <c r="AD59" s="5"/>
      <c r="AE59" s="5">
        <f t="shared" si="5"/>
        <v>8</v>
      </c>
      <c r="AF59" s="30"/>
      <c r="AG59" s="5" t="s">
        <v>1</v>
      </c>
      <c r="AH59" s="5">
        <f t="shared" si="6"/>
        <v>8</v>
      </c>
      <c r="AI59" s="5">
        <v>6</v>
      </c>
      <c r="AJ59" s="5"/>
      <c r="AK59" s="5">
        <f t="shared" si="7"/>
        <v>6</v>
      </c>
      <c r="AL59" s="5"/>
      <c r="AM59" s="45"/>
    </row>
    <row r="60" spans="1:39" x14ac:dyDescent="0.2">
      <c r="A60" s="5">
        <v>55</v>
      </c>
      <c r="B60" s="6" t="s">
        <v>41</v>
      </c>
      <c r="C60" s="5" t="s">
        <v>1</v>
      </c>
      <c r="D60" s="5">
        <v>4</v>
      </c>
      <c r="E60" s="5">
        <v>4</v>
      </c>
      <c r="F60" s="18"/>
      <c r="G60" s="5">
        <v>4</v>
      </c>
      <c r="H60" s="13"/>
      <c r="I60" s="5" t="s">
        <v>1</v>
      </c>
      <c r="J60" s="5">
        <v>4</v>
      </c>
      <c r="K60" s="5">
        <v>2</v>
      </c>
      <c r="L60" s="5"/>
      <c r="M60" s="5">
        <f t="shared" si="0"/>
        <v>2</v>
      </c>
      <c r="N60" s="30"/>
      <c r="O60" s="5" t="s">
        <v>1</v>
      </c>
      <c r="P60" s="5">
        <v>2</v>
      </c>
      <c r="Q60" s="18">
        <v>1</v>
      </c>
      <c r="R60" s="5"/>
      <c r="S60" s="5">
        <f t="shared" si="1"/>
        <v>1</v>
      </c>
      <c r="T60" s="41"/>
      <c r="U60" s="5" t="s">
        <v>1</v>
      </c>
      <c r="V60" s="5">
        <f t="shared" si="2"/>
        <v>1</v>
      </c>
      <c r="W60" s="5">
        <v>3</v>
      </c>
      <c r="X60" s="5">
        <v>5</v>
      </c>
      <c r="Y60" s="5">
        <f t="shared" si="3"/>
        <v>8</v>
      </c>
      <c r="Z60" s="41">
        <v>170000</v>
      </c>
      <c r="AA60" s="5" t="s">
        <v>1</v>
      </c>
      <c r="AB60" s="5">
        <f t="shared" si="4"/>
        <v>8</v>
      </c>
      <c r="AC60" s="5">
        <v>8</v>
      </c>
      <c r="AD60" s="5"/>
      <c r="AE60" s="5">
        <f t="shared" si="5"/>
        <v>8</v>
      </c>
      <c r="AF60" s="30"/>
      <c r="AG60" s="5" t="s">
        <v>1</v>
      </c>
      <c r="AH60" s="5">
        <f t="shared" si="6"/>
        <v>8</v>
      </c>
      <c r="AI60" s="5">
        <v>8</v>
      </c>
      <c r="AJ60" s="5"/>
      <c r="AK60" s="5">
        <f t="shared" si="7"/>
        <v>8</v>
      </c>
      <c r="AL60" s="5"/>
      <c r="AM60" s="45"/>
    </row>
    <row r="61" spans="1:39" x14ac:dyDescent="0.2">
      <c r="A61" s="5">
        <v>56</v>
      </c>
      <c r="B61" s="3" t="s">
        <v>106</v>
      </c>
      <c r="C61" s="18" t="s">
        <v>49</v>
      </c>
      <c r="D61" s="19">
        <v>20</v>
      </c>
      <c r="E61" s="19">
        <v>18</v>
      </c>
      <c r="F61" s="18"/>
      <c r="G61" s="19">
        <v>18</v>
      </c>
      <c r="H61" s="16"/>
      <c r="I61" s="18" t="s">
        <v>49</v>
      </c>
      <c r="J61" s="32">
        <v>18</v>
      </c>
      <c r="K61" s="5">
        <v>13</v>
      </c>
      <c r="L61" s="5"/>
      <c r="M61" s="5">
        <f t="shared" si="0"/>
        <v>13</v>
      </c>
      <c r="N61" s="30"/>
      <c r="O61" s="18" t="s">
        <v>49</v>
      </c>
      <c r="P61" s="5">
        <v>13</v>
      </c>
      <c r="Q61" s="18">
        <v>12</v>
      </c>
      <c r="R61" s="5"/>
      <c r="S61" s="5">
        <f t="shared" si="1"/>
        <v>12</v>
      </c>
      <c r="T61" s="41"/>
      <c r="U61" s="18" t="s">
        <v>49</v>
      </c>
      <c r="V61" s="5">
        <f t="shared" si="2"/>
        <v>12</v>
      </c>
      <c r="W61" s="5">
        <v>12</v>
      </c>
      <c r="X61" s="5"/>
      <c r="Y61" s="5">
        <f t="shared" si="3"/>
        <v>12</v>
      </c>
      <c r="Z61" s="41"/>
      <c r="AA61" s="18" t="s">
        <v>49</v>
      </c>
      <c r="AB61" s="5">
        <f t="shared" si="4"/>
        <v>12</v>
      </c>
      <c r="AC61" s="5">
        <v>12</v>
      </c>
      <c r="AD61" s="5"/>
      <c r="AE61" s="5">
        <f t="shared" si="5"/>
        <v>12</v>
      </c>
      <c r="AF61" s="30"/>
      <c r="AG61" s="18" t="s">
        <v>49</v>
      </c>
      <c r="AH61" s="5">
        <f t="shared" si="6"/>
        <v>12</v>
      </c>
      <c r="AI61" s="5">
        <v>12</v>
      </c>
      <c r="AJ61" s="5">
        <v>20</v>
      </c>
      <c r="AK61" s="5">
        <f t="shared" si="7"/>
        <v>32</v>
      </c>
      <c r="AL61" s="5"/>
      <c r="AM61" s="45"/>
    </row>
    <row r="62" spans="1:39" x14ac:dyDescent="0.2">
      <c r="A62" s="5">
        <v>57</v>
      </c>
      <c r="B62" s="6" t="s">
        <v>42</v>
      </c>
      <c r="C62" s="5" t="s">
        <v>1</v>
      </c>
      <c r="D62" s="5">
        <v>90</v>
      </c>
      <c r="E62" s="5">
        <v>82</v>
      </c>
      <c r="F62" s="18"/>
      <c r="G62" s="5">
        <v>82</v>
      </c>
      <c r="H62" s="13"/>
      <c r="I62" s="5" t="s">
        <v>1</v>
      </c>
      <c r="J62" s="5">
        <v>82</v>
      </c>
      <c r="K62" s="5">
        <v>80</v>
      </c>
      <c r="L62" s="5"/>
      <c r="M62" s="5">
        <f t="shared" si="0"/>
        <v>80</v>
      </c>
      <c r="N62" s="30"/>
      <c r="O62" s="5" t="s">
        <v>1</v>
      </c>
      <c r="P62" s="5">
        <v>80</v>
      </c>
      <c r="Q62" s="18">
        <v>76</v>
      </c>
      <c r="R62" s="5"/>
      <c r="S62" s="5">
        <f t="shared" si="1"/>
        <v>76</v>
      </c>
      <c r="T62" s="41"/>
      <c r="U62" s="5" t="s">
        <v>1</v>
      </c>
      <c r="V62" s="5">
        <f t="shared" si="2"/>
        <v>76</v>
      </c>
      <c r="W62" s="5">
        <v>70</v>
      </c>
      <c r="X62" s="5"/>
      <c r="Y62" s="5">
        <v>70</v>
      </c>
      <c r="Z62" s="41"/>
      <c r="AA62" s="5" t="s">
        <v>1</v>
      </c>
      <c r="AB62" s="5">
        <f t="shared" si="4"/>
        <v>70</v>
      </c>
      <c r="AC62" s="5">
        <v>65</v>
      </c>
      <c r="AD62" s="5"/>
      <c r="AE62" s="5">
        <f t="shared" si="5"/>
        <v>65</v>
      </c>
      <c r="AF62" s="30"/>
      <c r="AG62" s="5" t="s">
        <v>1</v>
      </c>
      <c r="AH62" s="5">
        <f t="shared" si="6"/>
        <v>65</v>
      </c>
      <c r="AI62" s="5">
        <v>60</v>
      </c>
      <c r="AJ62" s="5"/>
      <c r="AK62" s="5">
        <f t="shared" si="7"/>
        <v>60</v>
      </c>
      <c r="AL62" s="5"/>
      <c r="AM62" s="45"/>
    </row>
    <row r="63" spans="1:39" x14ac:dyDescent="0.2">
      <c r="A63" s="5">
        <v>58</v>
      </c>
      <c r="B63" s="6" t="s">
        <v>43</v>
      </c>
      <c r="C63" s="5" t="s">
        <v>1</v>
      </c>
      <c r="D63" s="5">
        <v>64</v>
      </c>
      <c r="E63" s="5">
        <v>63</v>
      </c>
      <c r="F63" s="18"/>
      <c r="G63" s="5">
        <v>63</v>
      </c>
      <c r="H63" s="13"/>
      <c r="I63" s="5" t="s">
        <v>1</v>
      </c>
      <c r="J63" s="5">
        <v>63</v>
      </c>
      <c r="K63" s="5">
        <v>61</v>
      </c>
      <c r="L63" s="5"/>
      <c r="M63" s="5">
        <f t="shared" si="0"/>
        <v>61</v>
      </c>
      <c r="N63" s="30"/>
      <c r="O63" s="5" t="s">
        <v>1</v>
      </c>
      <c r="P63" s="5">
        <v>61</v>
      </c>
      <c r="Q63" s="18">
        <v>54</v>
      </c>
      <c r="R63" s="5"/>
      <c r="S63" s="5">
        <f t="shared" si="1"/>
        <v>54</v>
      </c>
      <c r="T63" s="41"/>
      <c r="U63" s="5" t="s">
        <v>1</v>
      </c>
      <c r="V63" s="5">
        <f t="shared" si="2"/>
        <v>54</v>
      </c>
      <c r="W63" s="5">
        <v>50</v>
      </c>
      <c r="X63" s="5"/>
      <c r="Y63" s="5">
        <f t="shared" si="3"/>
        <v>50</v>
      </c>
      <c r="Z63" s="41"/>
      <c r="AA63" s="5" t="s">
        <v>1</v>
      </c>
      <c r="AB63" s="5">
        <f t="shared" si="4"/>
        <v>50</v>
      </c>
      <c r="AC63" s="5">
        <v>45</v>
      </c>
      <c r="AD63" s="5"/>
      <c r="AE63" s="5">
        <f t="shared" si="5"/>
        <v>45</v>
      </c>
      <c r="AF63" s="30"/>
      <c r="AG63" s="5" t="s">
        <v>1</v>
      </c>
      <c r="AH63" s="5">
        <f t="shared" si="6"/>
        <v>45</v>
      </c>
      <c r="AI63" s="5">
        <v>40</v>
      </c>
      <c r="AJ63" s="5"/>
      <c r="AK63" s="5">
        <f t="shared" si="7"/>
        <v>40</v>
      </c>
      <c r="AL63" s="5"/>
      <c r="AM63" s="45"/>
    </row>
    <row r="64" spans="1:39" x14ac:dyDescent="0.2">
      <c r="A64" s="5">
        <v>59</v>
      </c>
      <c r="B64" s="3" t="s">
        <v>93</v>
      </c>
      <c r="C64" s="18" t="s">
        <v>25</v>
      </c>
      <c r="D64" s="19">
        <v>8</v>
      </c>
      <c r="E64" s="19">
        <v>7</v>
      </c>
      <c r="F64" s="18"/>
      <c r="G64" s="19">
        <v>7</v>
      </c>
      <c r="H64" s="16"/>
      <c r="I64" s="18" t="s">
        <v>25</v>
      </c>
      <c r="J64" s="32">
        <v>7</v>
      </c>
      <c r="K64" s="5">
        <v>7</v>
      </c>
      <c r="L64" s="5"/>
      <c r="M64" s="5">
        <f t="shared" si="0"/>
        <v>7</v>
      </c>
      <c r="N64" s="30"/>
      <c r="O64" s="18" t="s">
        <v>25</v>
      </c>
      <c r="P64" s="5">
        <v>7</v>
      </c>
      <c r="Q64" s="18">
        <v>7</v>
      </c>
      <c r="R64" s="5"/>
      <c r="S64" s="5">
        <f t="shared" si="1"/>
        <v>7</v>
      </c>
      <c r="T64" s="41"/>
      <c r="U64" s="18" t="s">
        <v>25</v>
      </c>
      <c r="V64" s="5">
        <f t="shared" si="2"/>
        <v>7</v>
      </c>
      <c r="W64" s="5">
        <v>7</v>
      </c>
      <c r="X64" s="5"/>
      <c r="Y64" s="5">
        <f t="shared" si="3"/>
        <v>7</v>
      </c>
      <c r="Z64" s="41"/>
      <c r="AA64" s="18" t="s">
        <v>25</v>
      </c>
      <c r="AB64" s="5">
        <f t="shared" si="4"/>
        <v>7</v>
      </c>
      <c r="AC64" s="5">
        <v>7</v>
      </c>
      <c r="AD64" s="5"/>
      <c r="AE64" s="5">
        <f t="shared" si="5"/>
        <v>7</v>
      </c>
      <c r="AF64" s="30"/>
      <c r="AG64" s="18" t="s">
        <v>25</v>
      </c>
      <c r="AH64" s="5">
        <f t="shared" si="6"/>
        <v>7</v>
      </c>
      <c r="AI64" s="5">
        <v>7</v>
      </c>
      <c r="AJ64" s="5"/>
      <c r="AK64" s="5">
        <f t="shared" si="7"/>
        <v>7</v>
      </c>
      <c r="AL64" s="5"/>
      <c r="AM64" s="45"/>
    </row>
    <row r="65" spans="1:39" x14ac:dyDescent="0.2">
      <c r="A65" s="5">
        <v>60</v>
      </c>
      <c r="B65" s="6" t="s">
        <v>74</v>
      </c>
      <c r="C65" s="5" t="s">
        <v>1</v>
      </c>
      <c r="D65" s="5">
        <v>4</v>
      </c>
      <c r="E65" s="5">
        <v>1</v>
      </c>
      <c r="F65" s="18">
        <v>3</v>
      </c>
      <c r="G65" s="18">
        <v>4</v>
      </c>
      <c r="H65" s="13">
        <v>30000</v>
      </c>
      <c r="I65" s="5" t="s">
        <v>1</v>
      </c>
      <c r="J65" s="5">
        <v>4</v>
      </c>
      <c r="K65" s="5">
        <v>3</v>
      </c>
      <c r="L65" s="5"/>
      <c r="M65" s="5">
        <f t="shared" si="0"/>
        <v>3</v>
      </c>
      <c r="N65" s="30"/>
      <c r="O65" s="5" t="s">
        <v>1</v>
      </c>
      <c r="P65" s="5">
        <v>3</v>
      </c>
      <c r="Q65" s="18">
        <v>3</v>
      </c>
      <c r="R65" s="5"/>
      <c r="S65" s="5">
        <f t="shared" si="1"/>
        <v>3</v>
      </c>
      <c r="T65" s="41"/>
      <c r="U65" s="5" t="s">
        <v>1</v>
      </c>
      <c r="V65" s="5">
        <f t="shared" si="2"/>
        <v>3</v>
      </c>
      <c r="W65" s="5">
        <v>1</v>
      </c>
      <c r="X65" s="5"/>
      <c r="Y65" s="5">
        <f t="shared" si="3"/>
        <v>1</v>
      </c>
      <c r="Z65" s="41"/>
      <c r="AA65" s="5" t="s">
        <v>1</v>
      </c>
      <c r="AB65" s="5">
        <f t="shared" si="4"/>
        <v>1</v>
      </c>
      <c r="AC65" s="5">
        <v>1</v>
      </c>
      <c r="AD65" s="5"/>
      <c r="AE65" s="5">
        <f t="shared" si="5"/>
        <v>1</v>
      </c>
      <c r="AF65" s="30"/>
      <c r="AG65" s="5" t="s">
        <v>1</v>
      </c>
      <c r="AH65" s="5">
        <f t="shared" si="6"/>
        <v>1</v>
      </c>
      <c r="AI65" s="5">
        <v>1</v>
      </c>
      <c r="AJ65" s="5">
        <v>6</v>
      </c>
      <c r="AK65" s="5">
        <f t="shared" si="7"/>
        <v>7</v>
      </c>
      <c r="AL65" s="5"/>
      <c r="AM65" s="45"/>
    </row>
    <row r="66" spans="1:39" x14ac:dyDescent="0.2">
      <c r="A66" s="5">
        <v>61</v>
      </c>
      <c r="B66" s="6" t="s">
        <v>44</v>
      </c>
      <c r="C66" s="5" t="s">
        <v>1</v>
      </c>
      <c r="D66" s="5">
        <v>3</v>
      </c>
      <c r="E66" s="5">
        <v>0</v>
      </c>
      <c r="F66" s="18">
        <v>3</v>
      </c>
      <c r="G66" s="18">
        <v>3</v>
      </c>
      <c r="H66" s="13">
        <v>39000</v>
      </c>
      <c r="I66" s="5" t="s">
        <v>1</v>
      </c>
      <c r="J66" s="5">
        <v>3</v>
      </c>
      <c r="K66" s="5">
        <v>2</v>
      </c>
      <c r="L66" s="5"/>
      <c r="M66" s="5">
        <f t="shared" si="0"/>
        <v>2</v>
      </c>
      <c r="N66" s="30"/>
      <c r="O66" s="5" t="s">
        <v>1</v>
      </c>
      <c r="P66" s="5">
        <v>2</v>
      </c>
      <c r="Q66" s="18">
        <v>2</v>
      </c>
      <c r="R66" s="5"/>
      <c r="S66" s="5">
        <f t="shared" si="1"/>
        <v>2</v>
      </c>
      <c r="T66" s="41"/>
      <c r="U66" s="5" t="s">
        <v>1</v>
      </c>
      <c r="V66" s="5">
        <f t="shared" si="2"/>
        <v>2</v>
      </c>
      <c r="W66" s="5">
        <v>1</v>
      </c>
      <c r="X66" s="5"/>
      <c r="Y66" s="5">
        <f t="shared" si="3"/>
        <v>1</v>
      </c>
      <c r="Z66" s="41"/>
      <c r="AA66" s="5" t="s">
        <v>1</v>
      </c>
      <c r="AB66" s="5">
        <f t="shared" si="4"/>
        <v>1</v>
      </c>
      <c r="AC66" s="5"/>
      <c r="AD66" s="5">
        <v>3</v>
      </c>
      <c r="AE66" s="5">
        <f t="shared" si="5"/>
        <v>3</v>
      </c>
      <c r="AF66" s="30">
        <v>63000</v>
      </c>
      <c r="AG66" s="5" t="s">
        <v>1</v>
      </c>
      <c r="AH66" s="5">
        <f t="shared" si="6"/>
        <v>3</v>
      </c>
      <c r="AI66" s="5">
        <v>2</v>
      </c>
      <c r="AJ66" s="5"/>
      <c r="AK66" s="5">
        <f t="shared" si="7"/>
        <v>2</v>
      </c>
      <c r="AL66" s="5"/>
      <c r="AM66" s="45"/>
    </row>
    <row r="67" spans="1:39" x14ac:dyDescent="0.2">
      <c r="A67" s="5">
        <v>62</v>
      </c>
      <c r="B67" s="6" t="s">
        <v>45</v>
      </c>
      <c r="C67" s="5" t="s">
        <v>1</v>
      </c>
      <c r="D67" s="5">
        <v>3</v>
      </c>
      <c r="E67" s="5">
        <v>0</v>
      </c>
      <c r="F67" s="18">
        <v>3</v>
      </c>
      <c r="G67" s="18">
        <v>3</v>
      </c>
      <c r="H67" s="13">
        <v>15000</v>
      </c>
      <c r="I67" s="5" t="s">
        <v>1</v>
      </c>
      <c r="J67" s="5">
        <v>3</v>
      </c>
      <c r="K67" s="5">
        <v>3</v>
      </c>
      <c r="L67" s="5"/>
      <c r="M67" s="5">
        <f t="shared" si="0"/>
        <v>3</v>
      </c>
      <c r="N67" s="30"/>
      <c r="O67" s="5" t="s">
        <v>1</v>
      </c>
      <c r="P67" s="5">
        <v>3</v>
      </c>
      <c r="Q67" s="18">
        <v>3</v>
      </c>
      <c r="R67" s="5"/>
      <c r="S67" s="5">
        <f t="shared" si="1"/>
        <v>3</v>
      </c>
      <c r="T67" s="41"/>
      <c r="U67" s="5" t="s">
        <v>1</v>
      </c>
      <c r="V67" s="5">
        <f t="shared" si="2"/>
        <v>3</v>
      </c>
      <c r="W67" s="5">
        <v>1</v>
      </c>
      <c r="X67" s="5"/>
      <c r="Y67" s="5">
        <f t="shared" si="3"/>
        <v>1</v>
      </c>
      <c r="Z67" s="41"/>
      <c r="AA67" s="5" t="s">
        <v>1</v>
      </c>
      <c r="AB67" s="5">
        <f t="shared" si="4"/>
        <v>1</v>
      </c>
      <c r="AC67" s="5"/>
      <c r="AD67" s="5">
        <v>5</v>
      </c>
      <c r="AE67" s="5">
        <f t="shared" si="5"/>
        <v>5</v>
      </c>
      <c r="AF67" s="30">
        <v>55000</v>
      </c>
      <c r="AG67" s="5" t="s">
        <v>1</v>
      </c>
      <c r="AH67" s="5">
        <f t="shared" si="6"/>
        <v>5</v>
      </c>
      <c r="AI67" s="5">
        <v>4</v>
      </c>
      <c r="AJ67" s="5"/>
      <c r="AK67" s="5">
        <f t="shared" si="7"/>
        <v>4</v>
      </c>
      <c r="AL67" s="5"/>
      <c r="AM67" s="45"/>
    </row>
    <row r="68" spans="1:39" x14ac:dyDescent="0.2">
      <c r="A68" s="5">
        <v>63</v>
      </c>
      <c r="B68" s="6" t="s">
        <v>46</v>
      </c>
      <c r="C68" s="5" t="s">
        <v>1</v>
      </c>
      <c r="D68" s="5">
        <v>35</v>
      </c>
      <c r="E68" s="5">
        <v>20</v>
      </c>
      <c r="F68" s="18">
        <v>12</v>
      </c>
      <c r="G68" s="18">
        <v>32</v>
      </c>
      <c r="H68" s="13">
        <v>64800</v>
      </c>
      <c r="I68" s="5" t="s">
        <v>1</v>
      </c>
      <c r="J68" s="5">
        <v>32</v>
      </c>
      <c r="K68" s="5">
        <v>28</v>
      </c>
      <c r="L68" s="5"/>
      <c r="M68" s="5">
        <f t="shared" si="0"/>
        <v>28</v>
      </c>
      <c r="N68" s="30"/>
      <c r="O68" s="5" t="s">
        <v>1</v>
      </c>
      <c r="P68" s="5">
        <v>28</v>
      </c>
      <c r="Q68" s="18">
        <v>24</v>
      </c>
      <c r="R68" s="5"/>
      <c r="S68" s="5">
        <f t="shared" si="1"/>
        <v>24</v>
      </c>
      <c r="T68" s="41"/>
      <c r="U68" s="5" t="s">
        <v>1</v>
      </c>
      <c r="V68" s="5">
        <f t="shared" si="2"/>
        <v>24</v>
      </c>
      <c r="W68" s="5">
        <v>19</v>
      </c>
      <c r="X68" s="5"/>
      <c r="Y68" s="5">
        <f t="shared" si="3"/>
        <v>19</v>
      </c>
      <c r="Z68" s="41"/>
      <c r="AA68" s="5" t="s">
        <v>1</v>
      </c>
      <c r="AB68" s="5">
        <f t="shared" si="4"/>
        <v>19</v>
      </c>
      <c r="AC68" s="5"/>
      <c r="AD68" s="5"/>
      <c r="AE68" s="5">
        <f t="shared" si="5"/>
        <v>0</v>
      </c>
      <c r="AF68" s="30"/>
      <c r="AG68" s="5" t="s">
        <v>1</v>
      </c>
      <c r="AH68" s="5">
        <f t="shared" si="6"/>
        <v>0</v>
      </c>
      <c r="AI68" s="5">
        <v>36</v>
      </c>
      <c r="AJ68" s="5"/>
      <c r="AK68" s="5">
        <f t="shared" si="7"/>
        <v>36</v>
      </c>
      <c r="AL68" s="5"/>
      <c r="AM68" s="45"/>
    </row>
    <row r="69" spans="1:39" x14ac:dyDescent="0.2">
      <c r="A69" s="5">
        <v>64</v>
      </c>
      <c r="B69" s="6" t="s">
        <v>47</v>
      </c>
      <c r="C69" s="5" t="s">
        <v>1</v>
      </c>
      <c r="D69" s="5">
        <v>35</v>
      </c>
      <c r="E69" s="5">
        <v>20</v>
      </c>
      <c r="F69" s="18">
        <v>12</v>
      </c>
      <c r="G69" s="18">
        <v>32</v>
      </c>
      <c r="H69" s="13">
        <v>32400</v>
      </c>
      <c r="I69" s="5" t="s">
        <v>1</v>
      </c>
      <c r="J69" s="5">
        <v>32</v>
      </c>
      <c r="K69" s="5">
        <v>28</v>
      </c>
      <c r="L69" s="5"/>
      <c r="M69" s="5">
        <f t="shared" si="0"/>
        <v>28</v>
      </c>
      <c r="N69" s="30"/>
      <c r="O69" s="5" t="s">
        <v>1</v>
      </c>
      <c r="P69" s="5">
        <v>28</v>
      </c>
      <c r="Q69" s="18">
        <v>23</v>
      </c>
      <c r="R69" s="5"/>
      <c r="S69" s="5">
        <f t="shared" si="1"/>
        <v>23</v>
      </c>
      <c r="T69" s="41"/>
      <c r="U69" s="5" t="s">
        <v>1</v>
      </c>
      <c r="V69" s="5">
        <f t="shared" si="2"/>
        <v>23</v>
      </c>
      <c r="W69" s="5"/>
      <c r="X69" s="5"/>
      <c r="Y69" s="5">
        <f t="shared" si="3"/>
        <v>0</v>
      </c>
      <c r="Z69" s="41"/>
      <c r="AA69" s="5" t="s">
        <v>1</v>
      </c>
      <c r="AB69" s="5">
        <f t="shared" si="4"/>
        <v>0</v>
      </c>
      <c r="AC69" s="5"/>
      <c r="AD69" s="5"/>
      <c r="AE69" s="5">
        <f t="shared" si="5"/>
        <v>0</v>
      </c>
      <c r="AF69" s="30"/>
      <c r="AG69" s="5" t="s">
        <v>1</v>
      </c>
      <c r="AH69" s="5">
        <f t="shared" si="6"/>
        <v>0</v>
      </c>
      <c r="AI69" s="5">
        <v>36</v>
      </c>
      <c r="AJ69" s="5"/>
      <c r="AK69" s="5">
        <f t="shared" si="7"/>
        <v>36</v>
      </c>
      <c r="AL69" s="5"/>
      <c r="AM69" s="45"/>
    </row>
    <row r="70" spans="1:39" x14ac:dyDescent="0.2">
      <c r="A70" s="5">
        <v>65</v>
      </c>
      <c r="B70" s="6" t="s">
        <v>48</v>
      </c>
      <c r="C70" s="5" t="s">
        <v>49</v>
      </c>
      <c r="D70" s="5">
        <v>30</v>
      </c>
      <c r="E70" s="5">
        <v>28</v>
      </c>
      <c r="F70" s="18"/>
      <c r="G70" s="5">
        <v>28</v>
      </c>
      <c r="H70" s="13"/>
      <c r="I70" s="5" t="s">
        <v>49</v>
      </c>
      <c r="J70" s="5">
        <v>28</v>
      </c>
      <c r="K70" s="5">
        <v>25</v>
      </c>
      <c r="L70" s="5"/>
      <c r="M70" s="5">
        <f t="shared" si="0"/>
        <v>25</v>
      </c>
      <c r="N70" s="30"/>
      <c r="O70" s="5" t="s">
        <v>49</v>
      </c>
      <c r="P70" s="5">
        <v>25</v>
      </c>
      <c r="Q70" s="18">
        <v>21</v>
      </c>
      <c r="R70" s="5"/>
      <c r="S70" s="5">
        <f t="shared" si="1"/>
        <v>21</v>
      </c>
      <c r="T70" s="41"/>
      <c r="U70" s="5" t="s">
        <v>49</v>
      </c>
      <c r="V70" s="5">
        <f t="shared" si="2"/>
        <v>21</v>
      </c>
      <c r="W70" s="5"/>
      <c r="X70" s="5"/>
      <c r="Y70" s="5">
        <f t="shared" si="3"/>
        <v>0</v>
      </c>
      <c r="Z70" s="41"/>
      <c r="AA70" s="5" t="s">
        <v>49</v>
      </c>
      <c r="AB70" s="5">
        <f t="shared" si="4"/>
        <v>0</v>
      </c>
      <c r="AC70" s="5"/>
      <c r="AD70" s="5"/>
      <c r="AE70" s="5">
        <f t="shared" si="5"/>
        <v>0</v>
      </c>
      <c r="AF70" s="30"/>
      <c r="AG70" s="5" t="s">
        <v>49</v>
      </c>
      <c r="AH70" s="5">
        <f t="shared" si="6"/>
        <v>0</v>
      </c>
      <c r="AI70" s="5">
        <v>30</v>
      </c>
      <c r="AJ70" s="5"/>
      <c r="AK70" s="5">
        <f t="shared" si="7"/>
        <v>30</v>
      </c>
      <c r="AL70" s="5"/>
      <c r="AM70" s="45"/>
    </row>
    <row r="71" spans="1:39" x14ac:dyDescent="0.2">
      <c r="A71" s="5">
        <v>66</v>
      </c>
      <c r="B71" s="6" t="s">
        <v>50</v>
      </c>
      <c r="C71" s="5" t="s">
        <v>49</v>
      </c>
      <c r="D71" s="5">
        <v>40</v>
      </c>
      <c r="E71" s="5">
        <v>35</v>
      </c>
      <c r="F71" s="18"/>
      <c r="G71" s="5">
        <v>35</v>
      </c>
      <c r="H71" s="13"/>
      <c r="I71" s="5" t="s">
        <v>49</v>
      </c>
      <c r="J71" s="5">
        <v>35</v>
      </c>
      <c r="K71" s="5">
        <v>30</v>
      </c>
      <c r="L71" s="5"/>
      <c r="M71" s="5">
        <f t="shared" ref="M71:M125" si="8">L71+K71</f>
        <v>30</v>
      </c>
      <c r="N71" s="30"/>
      <c r="O71" s="5" t="s">
        <v>49</v>
      </c>
      <c r="P71" s="5">
        <v>30</v>
      </c>
      <c r="Q71" s="18">
        <v>27</v>
      </c>
      <c r="R71" s="5"/>
      <c r="S71" s="5">
        <f t="shared" ref="S71:S125" si="9">R71+Q71</f>
        <v>27</v>
      </c>
      <c r="T71" s="41"/>
      <c r="U71" s="5" t="s">
        <v>49</v>
      </c>
      <c r="V71" s="5">
        <f t="shared" ref="V71:V125" si="10">S71</f>
        <v>27</v>
      </c>
      <c r="W71" s="5">
        <v>12</v>
      </c>
      <c r="X71" s="5">
        <v>20</v>
      </c>
      <c r="Y71" s="5">
        <f t="shared" ref="Y71:Y125" si="11">X71+W71</f>
        <v>32</v>
      </c>
      <c r="Z71" s="41">
        <v>46000</v>
      </c>
      <c r="AA71" s="5" t="s">
        <v>49</v>
      </c>
      <c r="AB71" s="5">
        <f t="shared" ref="AB71:AB125" si="12">Y71</f>
        <v>32</v>
      </c>
      <c r="AC71" s="5">
        <v>26</v>
      </c>
      <c r="AD71" s="5"/>
      <c r="AE71" s="5">
        <f t="shared" ref="AE71:AE125" si="13">AD71+AC71</f>
        <v>26</v>
      </c>
      <c r="AF71" s="30"/>
      <c r="AG71" s="5" t="s">
        <v>49</v>
      </c>
      <c r="AH71" s="5">
        <f t="shared" ref="AH71:AH125" si="14">AE71</f>
        <v>26</v>
      </c>
      <c r="AI71" s="5">
        <v>20</v>
      </c>
      <c r="AJ71" s="5"/>
      <c r="AK71" s="5">
        <f t="shared" ref="AK71:AK125" si="15">AJ71+AI71</f>
        <v>20</v>
      </c>
      <c r="AL71" s="5"/>
      <c r="AM71" s="45"/>
    </row>
    <row r="72" spans="1:39" x14ac:dyDescent="0.2">
      <c r="A72" s="5">
        <v>67</v>
      </c>
      <c r="B72" s="6" t="s">
        <v>51</v>
      </c>
      <c r="C72" s="5" t="s">
        <v>1</v>
      </c>
      <c r="D72" s="5">
        <v>72</v>
      </c>
      <c r="E72" s="5">
        <v>30</v>
      </c>
      <c r="F72" s="18">
        <v>60</v>
      </c>
      <c r="G72" s="18">
        <v>90</v>
      </c>
      <c r="H72" s="13">
        <v>500000</v>
      </c>
      <c r="I72" s="5" t="s">
        <v>1</v>
      </c>
      <c r="J72" s="5">
        <v>90</v>
      </c>
      <c r="K72" s="5">
        <v>78</v>
      </c>
      <c r="L72" s="5"/>
      <c r="M72" s="5">
        <v>78</v>
      </c>
      <c r="N72" s="30"/>
      <c r="O72" s="5" t="s">
        <v>1</v>
      </c>
      <c r="P72" s="5">
        <v>78</v>
      </c>
      <c r="Q72" s="18">
        <v>62</v>
      </c>
      <c r="R72" s="5"/>
      <c r="S72" s="5">
        <f t="shared" si="9"/>
        <v>62</v>
      </c>
      <c r="T72" s="41"/>
      <c r="U72" s="5" t="s">
        <v>1</v>
      </c>
      <c r="V72" s="5">
        <f t="shared" si="10"/>
        <v>62</v>
      </c>
      <c r="W72" s="5">
        <v>58</v>
      </c>
      <c r="X72" s="5"/>
      <c r="Y72" s="5">
        <f t="shared" si="11"/>
        <v>58</v>
      </c>
      <c r="Z72" s="41"/>
      <c r="AA72" s="5" t="s">
        <v>1</v>
      </c>
      <c r="AB72" s="5">
        <f t="shared" si="12"/>
        <v>58</v>
      </c>
      <c r="AC72" s="5">
        <v>42</v>
      </c>
      <c r="AD72" s="5"/>
      <c r="AE72" s="5">
        <f t="shared" si="13"/>
        <v>42</v>
      </c>
      <c r="AF72" s="30"/>
      <c r="AG72" s="5" t="s">
        <v>1</v>
      </c>
      <c r="AH72" s="5">
        <f t="shared" si="14"/>
        <v>42</v>
      </c>
      <c r="AI72" s="5">
        <v>35</v>
      </c>
      <c r="AJ72" s="5"/>
      <c r="AK72" s="5">
        <f t="shared" si="15"/>
        <v>35</v>
      </c>
      <c r="AL72" s="5"/>
      <c r="AM72" s="45"/>
    </row>
    <row r="73" spans="1:39" x14ac:dyDescent="0.2">
      <c r="A73" s="5">
        <v>68</v>
      </c>
      <c r="B73" s="6" t="s">
        <v>114</v>
      </c>
      <c r="C73" s="5" t="s">
        <v>52</v>
      </c>
      <c r="D73" s="5">
        <v>96</v>
      </c>
      <c r="E73" s="5">
        <v>94</v>
      </c>
      <c r="F73" s="18"/>
      <c r="G73" s="5">
        <v>94</v>
      </c>
      <c r="H73" s="13"/>
      <c r="I73" s="5" t="s">
        <v>52</v>
      </c>
      <c r="J73" s="5">
        <v>94</v>
      </c>
      <c r="K73" s="5">
        <v>87</v>
      </c>
      <c r="L73" s="5"/>
      <c r="M73" s="5">
        <f t="shared" si="8"/>
        <v>87</v>
      </c>
      <c r="N73" s="30"/>
      <c r="O73" s="5" t="s">
        <v>52</v>
      </c>
      <c r="P73" s="5">
        <v>87</v>
      </c>
      <c r="Q73" s="18">
        <v>85</v>
      </c>
      <c r="R73" s="5"/>
      <c r="S73" s="5">
        <f t="shared" si="9"/>
        <v>85</v>
      </c>
      <c r="T73" s="41"/>
      <c r="U73" s="5" t="s">
        <v>52</v>
      </c>
      <c r="V73" s="5">
        <f t="shared" si="10"/>
        <v>85</v>
      </c>
      <c r="W73" s="5">
        <v>84</v>
      </c>
      <c r="X73" s="5"/>
      <c r="Y73" s="5">
        <f t="shared" si="11"/>
        <v>84</v>
      </c>
      <c r="Z73" s="41"/>
      <c r="AA73" s="5" t="s">
        <v>52</v>
      </c>
      <c r="AB73" s="5">
        <f t="shared" si="12"/>
        <v>84</v>
      </c>
      <c r="AC73" s="5">
        <v>84</v>
      </c>
      <c r="AD73" s="5"/>
      <c r="AE73" s="5">
        <f t="shared" si="13"/>
        <v>84</v>
      </c>
      <c r="AF73" s="30"/>
      <c r="AG73" s="5" t="s">
        <v>52</v>
      </c>
      <c r="AH73" s="5">
        <f t="shared" si="14"/>
        <v>84</v>
      </c>
      <c r="AI73" s="5">
        <v>84</v>
      </c>
      <c r="AJ73" s="5"/>
      <c r="AK73" s="5">
        <f t="shared" si="15"/>
        <v>84</v>
      </c>
      <c r="AL73" s="5"/>
      <c r="AM73" s="45"/>
    </row>
    <row r="74" spans="1:39" x14ac:dyDescent="0.2">
      <c r="A74" s="5">
        <v>69</v>
      </c>
      <c r="B74" s="6" t="s">
        <v>53</v>
      </c>
      <c r="C74" s="5" t="s">
        <v>52</v>
      </c>
      <c r="D74" s="5">
        <v>144</v>
      </c>
      <c r="E74" s="5">
        <v>140</v>
      </c>
      <c r="F74" s="18"/>
      <c r="G74" s="5">
        <v>140</v>
      </c>
      <c r="H74" s="13"/>
      <c r="I74" s="5" t="s">
        <v>52</v>
      </c>
      <c r="J74" s="5">
        <v>140</v>
      </c>
      <c r="K74" s="5">
        <v>134</v>
      </c>
      <c r="L74" s="5"/>
      <c r="M74" s="5">
        <f t="shared" si="8"/>
        <v>134</v>
      </c>
      <c r="N74" s="30"/>
      <c r="O74" s="5" t="s">
        <v>52</v>
      </c>
      <c r="P74" s="5">
        <v>134</v>
      </c>
      <c r="Q74" s="18">
        <v>127</v>
      </c>
      <c r="R74" s="5"/>
      <c r="S74" s="5">
        <f t="shared" si="9"/>
        <v>127</v>
      </c>
      <c r="T74" s="41"/>
      <c r="U74" s="5" t="s">
        <v>52</v>
      </c>
      <c r="V74" s="5">
        <f t="shared" si="10"/>
        <v>127</v>
      </c>
      <c r="W74" s="5">
        <v>119</v>
      </c>
      <c r="X74" s="5"/>
      <c r="Y74" s="5">
        <f t="shared" si="11"/>
        <v>119</v>
      </c>
      <c r="Z74" s="41"/>
      <c r="AA74" s="5" t="s">
        <v>52</v>
      </c>
      <c r="AB74" s="5">
        <f t="shared" si="12"/>
        <v>119</v>
      </c>
      <c r="AC74" s="5">
        <v>111</v>
      </c>
      <c r="AD74" s="5"/>
      <c r="AE74" s="5">
        <f t="shared" si="13"/>
        <v>111</v>
      </c>
      <c r="AF74" s="30"/>
      <c r="AG74" s="5" t="s">
        <v>52</v>
      </c>
      <c r="AH74" s="5">
        <f t="shared" si="14"/>
        <v>111</v>
      </c>
      <c r="AI74" s="5">
        <v>108</v>
      </c>
      <c r="AJ74" s="5"/>
      <c r="AK74" s="5">
        <f t="shared" si="15"/>
        <v>108</v>
      </c>
      <c r="AL74" s="5"/>
      <c r="AM74" s="45"/>
    </row>
    <row r="75" spans="1:39" x14ac:dyDescent="0.2">
      <c r="A75" s="5">
        <v>70</v>
      </c>
      <c r="B75" s="6" t="s">
        <v>54</v>
      </c>
      <c r="C75" s="5" t="s">
        <v>49</v>
      </c>
      <c r="D75" s="5">
        <v>52</v>
      </c>
      <c r="E75" s="5">
        <v>50</v>
      </c>
      <c r="F75" s="18"/>
      <c r="G75" s="5">
        <v>50</v>
      </c>
      <c r="H75" s="13"/>
      <c r="I75" s="5" t="s">
        <v>49</v>
      </c>
      <c r="J75" s="5">
        <v>50</v>
      </c>
      <c r="K75" s="5">
        <v>49</v>
      </c>
      <c r="L75" s="5"/>
      <c r="M75" s="5">
        <f t="shared" si="8"/>
        <v>49</v>
      </c>
      <c r="N75" s="30"/>
      <c r="O75" s="5" t="s">
        <v>49</v>
      </c>
      <c r="P75" s="5">
        <v>49</v>
      </c>
      <c r="Q75" s="18">
        <v>48</v>
      </c>
      <c r="R75" s="5"/>
      <c r="S75" s="5">
        <f t="shared" si="9"/>
        <v>48</v>
      </c>
      <c r="T75" s="41"/>
      <c r="U75" s="5" t="s">
        <v>49</v>
      </c>
      <c r="V75" s="5">
        <f t="shared" si="10"/>
        <v>48</v>
      </c>
      <c r="W75" s="5">
        <v>48</v>
      </c>
      <c r="X75" s="5"/>
      <c r="Y75" s="5">
        <f t="shared" si="11"/>
        <v>48</v>
      </c>
      <c r="Z75" s="41"/>
      <c r="AA75" s="5" t="s">
        <v>49</v>
      </c>
      <c r="AB75" s="5">
        <f t="shared" si="12"/>
        <v>48</v>
      </c>
      <c r="AC75" s="5">
        <v>48</v>
      </c>
      <c r="AD75" s="5"/>
      <c r="AE75" s="5">
        <f t="shared" si="13"/>
        <v>48</v>
      </c>
      <c r="AF75" s="30"/>
      <c r="AG75" s="5" t="s">
        <v>49</v>
      </c>
      <c r="AH75" s="5">
        <f t="shared" si="14"/>
        <v>48</v>
      </c>
      <c r="AI75" s="5">
        <v>48</v>
      </c>
      <c r="AJ75" s="5"/>
      <c r="AK75" s="5">
        <f t="shared" si="15"/>
        <v>48</v>
      </c>
      <c r="AL75" s="5"/>
      <c r="AM75" s="45"/>
    </row>
    <row r="76" spans="1:39" x14ac:dyDescent="0.2">
      <c r="A76" s="5">
        <v>71</v>
      </c>
      <c r="B76" s="6" t="s">
        <v>55</v>
      </c>
      <c r="C76" s="5" t="s">
        <v>49</v>
      </c>
      <c r="D76" s="5">
        <v>89</v>
      </c>
      <c r="E76" s="5">
        <v>85</v>
      </c>
      <c r="F76" s="18"/>
      <c r="G76" s="5">
        <v>85</v>
      </c>
      <c r="H76" s="13"/>
      <c r="I76" s="5" t="s">
        <v>49</v>
      </c>
      <c r="J76" s="5">
        <v>85</v>
      </c>
      <c r="K76" s="5">
        <v>81</v>
      </c>
      <c r="L76" s="5"/>
      <c r="M76" s="5">
        <f t="shared" si="8"/>
        <v>81</v>
      </c>
      <c r="N76" s="30"/>
      <c r="O76" s="5" t="s">
        <v>49</v>
      </c>
      <c r="P76" s="5">
        <v>81</v>
      </c>
      <c r="Q76" s="18">
        <v>78</v>
      </c>
      <c r="R76" s="5"/>
      <c r="S76" s="5">
        <f t="shared" si="9"/>
        <v>78</v>
      </c>
      <c r="T76" s="41"/>
      <c r="U76" s="5" t="s">
        <v>49</v>
      </c>
      <c r="V76" s="5">
        <f t="shared" si="10"/>
        <v>78</v>
      </c>
      <c r="W76" s="5">
        <v>75</v>
      </c>
      <c r="X76" s="5"/>
      <c r="Y76" s="5">
        <f t="shared" si="11"/>
        <v>75</v>
      </c>
      <c r="Z76" s="41"/>
      <c r="AA76" s="5" t="s">
        <v>49</v>
      </c>
      <c r="AB76" s="5">
        <f t="shared" si="12"/>
        <v>75</v>
      </c>
      <c r="AC76" s="5">
        <v>73</v>
      </c>
      <c r="AD76" s="5"/>
      <c r="AE76" s="5">
        <f t="shared" si="13"/>
        <v>73</v>
      </c>
      <c r="AF76" s="30"/>
      <c r="AG76" s="5" t="s">
        <v>49</v>
      </c>
      <c r="AH76" s="5">
        <f t="shared" si="14"/>
        <v>73</v>
      </c>
      <c r="AI76" s="5">
        <v>72</v>
      </c>
      <c r="AJ76" s="5"/>
      <c r="AK76" s="5">
        <f t="shared" si="15"/>
        <v>72</v>
      </c>
      <c r="AL76" s="5"/>
      <c r="AM76" s="45"/>
    </row>
    <row r="77" spans="1:39" x14ac:dyDescent="0.2">
      <c r="A77" s="5">
        <v>72</v>
      </c>
      <c r="B77" s="6" t="s">
        <v>56</v>
      </c>
      <c r="C77" s="5" t="s">
        <v>49</v>
      </c>
      <c r="D77" s="5">
        <v>77</v>
      </c>
      <c r="E77" s="5">
        <v>75</v>
      </c>
      <c r="F77" s="18"/>
      <c r="G77" s="5">
        <v>75</v>
      </c>
      <c r="H77" s="13"/>
      <c r="I77" s="5" t="s">
        <v>49</v>
      </c>
      <c r="J77" s="5">
        <v>75</v>
      </c>
      <c r="K77" s="5">
        <v>63</v>
      </c>
      <c r="L77" s="5"/>
      <c r="M77" s="5">
        <f t="shared" si="8"/>
        <v>63</v>
      </c>
      <c r="N77" s="30"/>
      <c r="O77" s="5" t="s">
        <v>49</v>
      </c>
      <c r="P77" s="5">
        <v>63</v>
      </c>
      <c r="Q77" s="18">
        <v>51</v>
      </c>
      <c r="R77" s="5"/>
      <c r="S77" s="5">
        <f t="shared" si="9"/>
        <v>51</v>
      </c>
      <c r="T77" s="41"/>
      <c r="U77" s="5" t="s">
        <v>49</v>
      </c>
      <c r="V77" s="5">
        <f t="shared" si="10"/>
        <v>51</v>
      </c>
      <c r="W77" s="5">
        <v>45</v>
      </c>
      <c r="X77" s="5"/>
      <c r="Y77" s="5">
        <f t="shared" si="11"/>
        <v>45</v>
      </c>
      <c r="Z77" s="41"/>
      <c r="AA77" s="5" t="s">
        <v>49</v>
      </c>
      <c r="AB77" s="5">
        <f t="shared" si="12"/>
        <v>45</v>
      </c>
      <c r="AC77" s="5">
        <v>40</v>
      </c>
      <c r="AD77" s="5"/>
      <c r="AE77" s="5">
        <f t="shared" si="13"/>
        <v>40</v>
      </c>
      <c r="AF77" s="30"/>
      <c r="AG77" s="5" t="s">
        <v>49</v>
      </c>
      <c r="AH77" s="5">
        <f t="shared" si="14"/>
        <v>40</v>
      </c>
      <c r="AI77" s="5">
        <v>36</v>
      </c>
      <c r="AJ77" s="5"/>
      <c r="AK77" s="5">
        <f t="shared" si="15"/>
        <v>36</v>
      </c>
      <c r="AL77" s="5"/>
      <c r="AM77" s="45"/>
    </row>
    <row r="78" spans="1:39" x14ac:dyDescent="0.2">
      <c r="A78" s="5">
        <v>73</v>
      </c>
      <c r="B78" s="6" t="s">
        <v>57</v>
      </c>
      <c r="C78" s="5" t="s">
        <v>49</v>
      </c>
      <c r="D78" s="5">
        <v>49</v>
      </c>
      <c r="E78" s="5">
        <v>47</v>
      </c>
      <c r="F78" s="18"/>
      <c r="G78" s="5">
        <v>47</v>
      </c>
      <c r="H78" s="13"/>
      <c r="I78" s="5" t="s">
        <v>49</v>
      </c>
      <c r="J78" s="5">
        <v>47</v>
      </c>
      <c r="K78" s="5">
        <v>38</v>
      </c>
      <c r="L78" s="5"/>
      <c r="M78" s="5">
        <f t="shared" si="8"/>
        <v>38</v>
      </c>
      <c r="N78" s="30"/>
      <c r="O78" s="5" t="s">
        <v>49</v>
      </c>
      <c r="P78" s="5">
        <v>38</v>
      </c>
      <c r="Q78" s="18">
        <v>32</v>
      </c>
      <c r="R78" s="5"/>
      <c r="S78" s="5">
        <f t="shared" si="9"/>
        <v>32</v>
      </c>
      <c r="T78" s="41"/>
      <c r="U78" s="5" t="s">
        <v>49</v>
      </c>
      <c r="V78" s="5">
        <f t="shared" si="10"/>
        <v>32</v>
      </c>
      <c r="W78" s="5">
        <v>12</v>
      </c>
      <c r="X78" s="5">
        <v>24</v>
      </c>
      <c r="Y78" s="5">
        <f t="shared" si="11"/>
        <v>36</v>
      </c>
      <c r="Z78" s="41">
        <v>80000</v>
      </c>
      <c r="AA78" s="5" t="s">
        <v>49</v>
      </c>
      <c r="AB78" s="5">
        <f t="shared" si="12"/>
        <v>36</v>
      </c>
      <c r="AC78" s="5">
        <v>27</v>
      </c>
      <c r="AD78" s="5"/>
      <c r="AE78" s="5">
        <f t="shared" si="13"/>
        <v>27</v>
      </c>
      <c r="AF78" s="30"/>
      <c r="AG78" s="5" t="s">
        <v>49</v>
      </c>
      <c r="AH78" s="5">
        <f t="shared" si="14"/>
        <v>27</v>
      </c>
      <c r="AI78" s="5">
        <v>24</v>
      </c>
      <c r="AJ78" s="5"/>
      <c r="AK78" s="5">
        <f t="shared" si="15"/>
        <v>24</v>
      </c>
      <c r="AL78" s="5"/>
      <c r="AM78" s="45"/>
    </row>
    <row r="79" spans="1:39" x14ac:dyDescent="0.2">
      <c r="A79" s="5">
        <v>74</v>
      </c>
      <c r="B79" s="6" t="s">
        <v>58</v>
      </c>
      <c r="C79" s="5" t="s">
        <v>1</v>
      </c>
      <c r="D79" s="5">
        <v>1848</v>
      </c>
      <c r="E79" s="5">
        <v>1830</v>
      </c>
      <c r="F79" s="18"/>
      <c r="G79" s="5">
        <v>1830</v>
      </c>
      <c r="H79" s="13"/>
      <c r="I79" s="5" t="s">
        <v>1</v>
      </c>
      <c r="J79" s="5">
        <v>1830</v>
      </c>
      <c r="K79" s="5">
        <v>1814</v>
      </c>
      <c r="L79" s="5"/>
      <c r="M79" s="5">
        <f t="shared" si="8"/>
        <v>1814</v>
      </c>
      <c r="N79" s="30"/>
      <c r="O79" s="5" t="s">
        <v>1</v>
      </c>
      <c r="P79" s="5">
        <v>1814</v>
      </c>
      <c r="Q79" s="18">
        <v>1810</v>
      </c>
      <c r="R79" s="5"/>
      <c r="S79" s="5">
        <f t="shared" si="9"/>
        <v>1810</v>
      </c>
      <c r="T79" s="41"/>
      <c r="U79" s="5" t="s">
        <v>1</v>
      </c>
      <c r="V79" s="5">
        <f t="shared" si="10"/>
        <v>1810</v>
      </c>
      <c r="W79" s="5"/>
      <c r="X79" s="5"/>
      <c r="Y79" s="5">
        <f t="shared" si="11"/>
        <v>0</v>
      </c>
      <c r="Z79" s="41"/>
      <c r="AA79" s="5" t="s">
        <v>1</v>
      </c>
      <c r="AB79" s="5">
        <f t="shared" si="12"/>
        <v>0</v>
      </c>
      <c r="AC79" s="5"/>
      <c r="AD79" s="5"/>
      <c r="AE79" s="5">
        <f t="shared" si="13"/>
        <v>0</v>
      </c>
      <c r="AF79" s="30"/>
      <c r="AG79" s="5" t="s">
        <v>1</v>
      </c>
      <c r="AH79" s="5">
        <f t="shared" si="14"/>
        <v>0</v>
      </c>
      <c r="AI79" s="5">
        <v>200</v>
      </c>
      <c r="AJ79" s="5"/>
      <c r="AK79" s="5">
        <f t="shared" si="15"/>
        <v>200</v>
      </c>
      <c r="AL79" s="5"/>
      <c r="AM79" s="45"/>
    </row>
    <row r="80" spans="1:39" x14ac:dyDescent="0.2">
      <c r="A80" s="5">
        <v>75</v>
      </c>
      <c r="B80" s="6" t="s">
        <v>116</v>
      </c>
      <c r="C80" s="5" t="s">
        <v>52</v>
      </c>
      <c r="D80" s="5">
        <v>5</v>
      </c>
      <c r="E80" s="5">
        <v>5</v>
      </c>
      <c r="F80" s="18"/>
      <c r="G80" s="5">
        <v>5</v>
      </c>
      <c r="H80" s="13"/>
      <c r="I80" s="5" t="s">
        <v>52</v>
      </c>
      <c r="J80" s="5">
        <v>5</v>
      </c>
      <c r="K80" s="5">
        <v>4</v>
      </c>
      <c r="L80" s="5"/>
      <c r="M80" s="5">
        <f t="shared" si="8"/>
        <v>4</v>
      </c>
      <c r="N80" s="30"/>
      <c r="O80" s="5" t="s">
        <v>52</v>
      </c>
      <c r="P80" s="5">
        <v>4</v>
      </c>
      <c r="Q80" s="18">
        <v>3</v>
      </c>
      <c r="R80" s="5"/>
      <c r="S80" s="5">
        <f t="shared" si="9"/>
        <v>3</v>
      </c>
      <c r="T80" s="41"/>
      <c r="U80" s="5" t="s">
        <v>52</v>
      </c>
      <c r="V80" s="5">
        <f t="shared" si="10"/>
        <v>3</v>
      </c>
      <c r="W80" s="5">
        <v>2</v>
      </c>
      <c r="X80" s="5">
        <v>5</v>
      </c>
      <c r="Y80" s="5">
        <f t="shared" si="11"/>
        <v>7</v>
      </c>
      <c r="Z80" s="41">
        <v>105000</v>
      </c>
      <c r="AA80" s="5" t="s">
        <v>52</v>
      </c>
      <c r="AB80" s="5">
        <f t="shared" si="12"/>
        <v>7</v>
      </c>
      <c r="AC80" s="5">
        <v>6</v>
      </c>
      <c r="AD80" s="5"/>
      <c r="AE80" s="5">
        <f t="shared" si="13"/>
        <v>6</v>
      </c>
      <c r="AF80" s="30"/>
      <c r="AG80" s="5" t="s">
        <v>52</v>
      </c>
      <c r="AH80" s="5">
        <f t="shared" si="14"/>
        <v>6</v>
      </c>
      <c r="AI80" s="5">
        <v>5</v>
      </c>
      <c r="AJ80" s="5"/>
      <c r="AK80" s="5">
        <f t="shared" si="15"/>
        <v>5</v>
      </c>
      <c r="AL80" s="5"/>
      <c r="AM80" s="45"/>
    </row>
    <row r="81" spans="1:39" x14ac:dyDescent="0.2">
      <c r="A81" s="5">
        <v>76</v>
      </c>
      <c r="B81" s="6" t="s">
        <v>115</v>
      </c>
      <c r="C81" s="5" t="s">
        <v>52</v>
      </c>
      <c r="D81" s="5">
        <v>5</v>
      </c>
      <c r="E81" s="5">
        <v>5</v>
      </c>
      <c r="F81" s="18"/>
      <c r="G81" s="5">
        <v>5</v>
      </c>
      <c r="H81" s="13"/>
      <c r="I81" s="5" t="s">
        <v>52</v>
      </c>
      <c r="J81" s="5">
        <v>5</v>
      </c>
      <c r="K81" s="5">
        <v>4</v>
      </c>
      <c r="L81" s="5"/>
      <c r="M81" s="5">
        <f t="shared" si="8"/>
        <v>4</v>
      </c>
      <c r="N81" s="30"/>
      <c r="O81" s="5" t="s">
        <v>52</v>
      </c>
      <c r="P81" s="5">
        <v>4</v>
      </c>
      <c r="Q81" s="18">
        <v>3</v>
      </c>
      <c r="R81" s="5"/>
      <c r="S81" s="5">
        <f t="shared" si="9"/>
        <v>3</v>
      </c>
      <c r="T81" s="41"/>
      <c r="U81" s="5" t="s">
        <v>52</v>
      </c>
      <c r="V81" s="5">
        <f t="shared" si="10"/>
        <v>3</v>
      </c>
      <c r="W81" s="5">
        <v>2</v>
      </c>
      <c r="X81" s="5">
        <v>5</v>
      </c>
      <c r="Y81" s="5">
        <f t="shared" si="11"/>
        <v>7</v>
      </c>
      <c r="Z81" s="41">
        <v>125000</v>
      </c>
      <c r="AA81" s="5" t="s">
        <v>52</v>
      </c>
      <c r="AB81" s="5">
        <f t="shared" si="12"/>
        <v>7</v>
      </c>
      <c r="AC81" s="5">
        <v>6</v>
      </c>
      <c r="AD81" s="5"/>
      <c r="AE81" s="5">
        <f t="shared" si="13"/>
        <v>6</v>
      </c>
      <c r="AF81" s="30"/>
      <c r="AG81" s="5" t="s">
        <v>52</v>
      </c>
      <c r="AH81" s="5">
        <f t="shared" si="14"/>
        <v>6</v>
      </c>
      <c r="AI81" s="5">
        <v>5</v>
      </c>
      <c r="AJ81" s="5"/>
      <c r="AK81" s="5">
        <f t="shared" si="15"/>
        <v>5</v>
      </c>
      <c r="AL81" s="5"/>
      <c r="AM81" s="45"/>
    </row>
    <row r="82" spans="1:39" x14ac:dyDescent="0.2">
      <c r="A82" s="5">
        <v>77</v>
      </c>
      <c r="B82" s="6" t="s">
        <v>117</v>
      </c>
      <c r="C82" s="5" t="s">
        <v>52</v>
      </c>
      <c r="D82" s="5">
        <v>8</v>
      </c>
      <c r="E82" s="5">
        <v>7</v>
      </c>
      <c r="F82" s="18"/>
      <c r="G82" s="5">
        <v>7</v>
      </c>
      <c r="H82" s="13"/>
      <c r="I82" s="5" t="s">
        <v>52</v>
      </c>
      <c r="J82" s="5">
        <v>7</v>
      </c>
      <c r="K82" s="5">
        <v>3</v>
      </c>
      <c r="L82" s="5"/>
      <c r="M82" s="5">
        <f t="shared" si="8"/>
        <v>3</v>
      </c>
      <c r="N82" s="30"/>
      <c r="O82" s="5" t="s">
        <v>52</v>
      </c>
      <c r="P82" s="5">
        <v>3</v>
      </c>
      <c r="Q82" s="18">
        <v>2</v>
      </c>
      <c r="R82" s="5"/>
      <c r="S82" s="5">
        <f t="shared" si="9"/>
        <v>2</v>
      </c>
      <c r="T82" s="41"/>
      <c r="U82" s="5" t="s">
        <v>52</v>
      </c>
      <c r="V82" s="5">
        <f t="shared" si="10"/>
        <v>2</v>
      </c>
      <c r="W82" s="5"/>
      <c r="X82" s="5"/>
      <c r="Y82" s="5">
        <f t="shared" si="11"/>
        <v>0</v>
      </c>
      <c r="Z82" s="41"/>
      <c r="AA82" s="5" t="s">
        <v>52</v>
      </c>
      <c r="AB82" s="5">
        <f t="shared" si="12"/>
        <v>0</v>
      </c>
      <c r="AC82" s="5"/>
      <c r="AD82" s="5"/>
      <c r="AE82" s="5">
        <f t="shared" si="13"/>
        <v>0</v>
      </c>
      <c r="AF82" s="30"/>
      <c r="AG82" s="5" t="s">
        <v>52</v>
      </c>
      <c r="AH82" s="5">
        <f t="shared" si="14"/>
        <v>0</v>
      </c>
      <c r="AI82" s="5">
        <v>8</v>
      </c>
      <c r="AJ82" s="5"/>
      <c r="AK82" s="5">
        <f t="shared" si="15"/>
        <v>8</v>
      </c>
      <c r="AL82" s="5"/>
      <c r="AM82" s="45"/>
    </row>
    <row r="83" spans="1:39" x14ac:dyDescent="0.2">
      <c r="A83" s="5">
        <v>78</v>
      </c>
      <c r="B83" s="6" t="s">
        <v>59</v>
      </c>
      <c r="C83" s="5" t="s">
        <v>1</v>
      </c>
      <c r="D83" s="5">
        <v>1093</v>
      </c>
      <c r="E83" s="5">
        <v>1074</v>
      </c>
      <c r="F83" s="18"/>
      <c r="G83" s="5">
        <v>1074</v>
      </c>
      <c r="H83" s="13"/>
      <c r="I83" s="5" t="s">
        <v>1</v>
      </c>
      <c r="J83" s="5">
        <v>1074</v>
      </c>
      <c r="K83" s="5">
        <v>1057</v>
      </c>
      <c r="L83" s="5"/>
      <c r="M83" s="5">
        <f t="shared" si="8"/>
        <v>1057</v>
      </c>
      <c r="N83" s="30"/>
      <c r="O83" s="5" t="s">
        <v>1</v>
      </c>
      <c r="P83" s="5">
        <v>1057</v>
      </c>
      <c r="Q83" s="18">
        <v>1045</v>
      </c>
      <c r="R83" s="5"/>
      <c r="S83" s="5">
        <f t="shared" si="9"/>
        <v>1045</v>
      </c>
      <c r="T83" s="41"/>
      <c r="U83" s="5" t="s">
        <v>1</v>
      </c>
      <c r="V83" s="5">
        <f t="shared" si="10"/>
        <v>1045</v>
      </c>
      <c r="W83" s="5">
        <v>1025</v>
      </c>
      <c r="X83" s="5"/>
      <c r="Y83" s="5">
        <f t="shared" si="11"/>
        <v>1025</v>
      </c>
      <c r="Z83" s="41"/>
      <c r="AA83" s="5" t="s">
        <v>1</v>
      </c>
      <c r="AB83" s="5">
        <f t="shared" si="12"/>
        <v>1025</v>
      </c>
      <c r="AC83" s="5">
        <v>1012</v>
      </c>
      <c r="AD83" s="5"/>
      <c r="AE83" s="5">
        <f t="shared" si="13"/>
        <v>1012</v>
      </c>
      <c r="AF83" s="30"/>
      <c r="AG83" s="5" t="s">
        <v>1</v>
      </c>
      <c r="AH83" s="5">
        <f t="shared" si="14"/>
        <v>1012</v>
      </c>
      <c r="AI83" s="5">
        <v>1004</v>
      </c>
      <c r="AJ83" s="5"/>
      <c r="AK83" s="5">
        <f t="shared" si="15"/>
        <v>1004</v>
      </c>
      <c r="AL83" s="5"/>
      <c r="AM83" s="45"/>
    </row>
    <row r="84" spans="1:39" x14ac:dyDescent="0.2">
      <c r="A84" s="5">
        <v>79</v>
      </c>
      <c r="B84" s="6" t="s">
        <v>75</v>
      </c>
      <c r="C84" s="5" t="s">
        <v>1</v>
      </c>
      <c r="D84" s="5">
        <v>1350</v>
      </c>
      <c r="E84" s="5">
        <v>1345</v>
      </c>
      <c r="F84" s="18"/>
      <c r="G84" s="5">
        <v>1345</v>
      </c>
      <c r="H84" s="13"/>
      <c r="I84" s="5" t="s">
        <v>1</v>
      </c>
      <c r="J84" s="5">
        <v>1345</v>
      </c>
      <c r="K84" s="5">
        <v>1338</v>
      </c>
      <c r="L84" s="5"/>
      <c r="M84" s="5">
        <f t="shared" si="8"/>
        <v>1338</v>
      </c>
      <c r="N84" s="30"/>
      <c r="O84" s="5" t="s">
        <v>1</v>
      </c>
      <c r="P84" s="5">
        <v>1338</v>
      </c>
      <c r="Q84" s="18">
        <v>1323</v>
      </c>
      <c r="R84" s="5"/>
      <c r="S84" s="5">
        <f t="shared" si="9"/>
        <v>1323</v>
      </c>
      <c r="T84" s="41"/>
      <c r="U84" s="5" t="s">
        <v>1</v>
      </c>
      <c r="V84" s="5">
        <f t="shared" si="10"/>
        <v>1323</v>
      </c>
      <c r="W84" s="5">
        <v>1314</v>
      </c>
      <c r="X84" s="5"/>
      <c r="Y84" s="5">
        <f t="shared" si="11"/>
        <v>1314</v>
      </c>
      <c r="Z84" s="41"/>
      <c r="AA84" s="5" t="s">
        <v>1</v>
      </c>
      <c r="AB84" s="5">
        <f t="shared" si="12"/>
        <v>1314</v>
      </c>
      <c r="AC84" s="5">
        <v>1302</v>
      </c>
      <c r="AD84" s="5"/>
      <c r="AE84" s="5">
        <f t="shared" si="13"/>
        <v>1302</v>
      </c>
      <c r="AF84" s="30"/>
      <c r="AG84" s="5" t="s">
        <v>1</v>
      </c>
      <c r="AH84" s="5">
        <f t="shared" si="14"/>
        <v>1302</v>
      </c>
      <c r="AI84" s="5">
        <v>1296</v>
      </c>
      <c r="AJ84" s="5"/>
      <c r="AK84" s="5">
        <f t="shared" si="15"/>
        <v>1296</v>
      </c>
      <c r="AL84" s="5"/>
      <c r="AM84" s="45"/>
    </row>
    <row r="85" spans="1:39" x14ac:dyDescent="0.2">
      <c r="A85" s="5">
        <v>80</v>
      </c>
      <c r="B85" s="6" t="s">
        <v>60</v>
      </c>
      <c r="C85" s="5" t="s">
        <v>1</v>
      </c>
      <c r="D85" s="5">
        <v>139</v>
      </c>
      <c r="E85" s="5">
        <v>130</v>
      </c>
      <c r="F85" s="18"/>
      <c r="G85" s="5">
        <v>130</v>
      </c>
      <c r="H85" s="13"/>
      <c r="I85" s="5" t="s">
        <v>1</v>
      </c>
      <c r="J85" s="5">
        <v>130</v>
      </c>
      <c r="K85" s="5">
        <v>126</v>
      </c>
      <c r="L85" s="5"/>
      <c r="M85" s="5">
        <f t="shared" si="8"/>
        <v>126</v>
      </c>
      <c r="N85" s="30"/>
      <c r="O85" s="5" t="s">
        <v>1</v>
      </c>
      <c r="P85" s="5">
        <v>126</v>
      </c>
      <c r="Q85" s="18">
        <v>126</v>
      </c>
      <c r="R85" s="5"/>
      <c r="S85" s="5">
        <f t="shared" si="9"/>
        <v>126</v>
      </c>
      <c r="T85" s="41"/>
      <c r="U85" s="5" t="s">
        <v>1</v>
      </c>
      <c r="V85" s="5">
        <f t="shared" si="10"/>
        <v>126</v>
      </c>
      <c r="W85" s="5">
        <v>126</v>
      </c>
      <c r="X85" s="5"/>
      <c r="Y85" s="5">
        <f t="shared" si="11"/>
        <v>126</v>
      </c>
      <c r="Z85" s="41"/>
      <c r="AA85" s="5" t="s">
        <v>1</v>
      </c>
      <c r="AB85" s="5">
        <f t="shared" si="12"/>
        <v>126</v>
      </c>
      <c r="AC85" s="5">
        <v>126</v>
      </c>
      <c r="AD85" s="5"/>
      <c r="AE85" s="5">
        <f t="shared" si="13"/>
        <v>126</v>
      </c>
      <c r="AF85" s="30"/>
      <c r="AG85" s="5" t="s">
        <v>1</v>
      </c>
      <c r="AH85" s="5">
        <f t="shared" si="14"/>
        <v>126</v>
      </c>
      <c r="AI85" s="5">
        <v>126</v>
      </c>
      <c r="AJ85" s="5"/>
      <c r="AK85" s="5">
        <f t="shared" si="15"/>
        <v>126</v>
      </c>
      <c r="AL85" s="5"/>
      <c r="AM85" s="45"/>
    </row>
    <row r="86" spans="1:39" x14ac:dyDescent="0.2">
      <c r="A86" s="5">
        <v>81</v>
      </c>
      <c r="B86" s="6" t="s">
        <v>76</v>
      </c>
      <c r="C86" s="5" t="s">
        <v>1</v>
      </c>
      <c r="D86" s="5">
        <v>15</v>
      </c>
      <c r="E86" s="5">
        <v>15</v>
      </c>
      <c r="F86" s="18"/>
      <c r="G86" s="5">
        <v>15</v>
      </c>
      <c r="H86" s="13"/>
      <c r="I86" s="5" t="s">
        <v>1</v>
      </c>
      <c r="J86" s="5">
        <v>15</v>
      </c>
      <c r="K86" s="5">
        <v>15</v>
      </c>
      <c r="L86" s="5"/>
      <c r="M86" s="5">
        <f t="shared" si="8"/>
        <v>15</v>
      </c>
      <c r="N86" s="30"/>
      <c r="O86" s="5" t="s">
        <v>1</v>
      </c>
      <c r="P86" s="5">
        <v>15</v>
      </c>
      <c r="Q86" s="18">
        <v>13</v>
      </c>
      <c r="R86" s="5"/>
      <c r="S86" s="5">
        <f t="shared" si="9"/>
        <v>13</v>
      </c>
      <c r="T86" s="41"/>
      <c r="U86" s="5" t="s">
        <v>1</v>
      </c>
      <c r="V86" s="5">
        <f t="shared" si="10"/>
        <v>13</v>
      </c>
      <c r="W86" s="5">
        <v>11</v>
      </c>
      <c r="X86" s="5"/>
      <c r="Y86" s="5">
        <f t="shared" si="11"/>
        <v>11</v>
      </c>
      <c r="Z86" s="41"/>
      <c r="AA86" s="5" t="s">
        <v>1</v>
      </c>
      <c r="AB86" s="5">
        <f t="shared" si="12"/>
        <v>11</v>
      </c>
      <c r="AC86" s="5">
        <v>10</v>
      </c>
      <c r="AD86" s="5"/>
      <c r="AE86" s="5">
        <f t="shared" si="13"/>
        <v>10</v>
      </c>
      <c r="AF86" s="30"/>
      <c r="AG86" s="5" t="s">
        <v>1</v>
      </c>
      <c r="AH86" s="5">
        <f t="shared" si="14"/>
        <v>10</v>
      </c>
      <c r="AI86" s="5">
        <v>10</v>
      </c>
      <c r="AJ86" s="5"/>
      <c r="AK86" s="5">
        <f t="shared" si="15"/>
        <v>10</v>
      </c>
      <c r="AL86" s="5"/>
      <c r="AM86" s="45"/>
    </row>
    <row r="87" spans="1:39" x14ac:dyDescent="0.2">
      <c r="A87" s="5">
        <v>82</v>
      </c>
      <c r="B87" s="6" t="s">
        <v>68</v>
      </c>
      <c r="C87" s="5" t="s">
        <v>1</v>
      </c>
      <c r="D87" s="5">
        <v>617</v>
      </c>
      <c r="E87" s="5">
        <v>532</v>
      </c>
      <c r="F87" s="18"/>
      <c r="G87" s="5">
        <v>532</v>
      </c>
      <c r="H87" s="13"/>
      <c r="I87" s="5" t="s">
        <v>1</v>
      </c>
      <c r="J87" s="5">
        <v>532</v>
      </c>
      <c r="K87" s="5">
        <v>457</v>
      </c>
      <c r="L87" s="5"/>
      <c r="M87" s="5">
        <f t="shared" si="8"/>
        <v>457</v>
      </c>
      <c r="N87" s="30"/>
      <c r="O87" s="5" t="s">
        <v>1</v>
      </c>
      <c r="P87" s="5">
        <v>457</v>
      </c>
      <c r="Q87" s="18">
        <v>316</v>
      </c>
      <c r="R87" s="5"/>
      <c r="S87" s="5">
        <f t="shared" si="9"/>
        <v>316</v>
      </c>
      <c r="T87" s="41"/>
      <c r="U87" s="5" t="s">
        <v>1</v>
      </c>
      <c r="V87" s="5">
        <f t="shared" si="10"/>
        <v>316</v>
      </c>
      <c r="W87" s="5">
        <v>218</v>
      </c>
      <c r="X87" s="5"/>
      <c r="Y87" s="5">
        <f t="shared" si="11"/>
        <v>218</v>
      </c>
      <c r="Z87" s="41"/>
      <c r="AA87" s="5" t="s">
        <v>1</v>
      </c>
      <c r="AB87" s="5">
        <f t="shared" si="12"/>
        <v>218</v>
      </c>
      <c r="AC87" s="5">
        <v>100</v>
      </c>
      <c r="AD87" s="5"/>
      <c r="AE87" s="5">
        <f t="shared" si="13"/>
        <v>100</v>
      </c>
      <c r="AF87" s="30"/>
      <c r="AG87" s="5" t="s">
        <v>1</v>
      </c>
      <c r="AH87" s="5">
        <v>35</v>
      </c>
      <c r="AI87" s="5">
        <v>7</v>
      </c>
      <c r="AJ87" s="5"/>
      <c r="AK87" s="5">
        <f t="shared" si="15"/>
        <v>7</v>
      </c>
      <c r="AL87" s="5"/>
      <c r="AM87" s="45"/>
    </row>
    <row r="88" spans="1:39" x14ac:dyDescent="0.2">
      <c r="A88" s="5">
        <v>83</v>
      </c>
      <c r="B88" s="6" t="s">
        <v>61</v>
      </c>
      <c r="C88" s="5" t="s">
        <v>1</v>
      </c>
      <c r="D88" s="5">
        <v>2</v>
      </c>
      <c r="E88" s="5">
        <v>1</v>
      </c>
      <c r="F88" s="18">
        <v>2</v>
      </c>
      <c r="G88" s="18">
        <v>3</v>
      </c>
      <c r="H88" s="13">
        <v>30000</v>
      </c>
      <c r="I88" s="5" t="s">
        <v>1</v>
      </c>
      <c r="J88" s="5">
        <v>3</v>
      </c>
      <c r="K88" s="5">
        <v>3</v>
      </c>
      <c r="L88" s="5">
        <v>3</v>
      </c>
      <c r="M88" s="5">
        <f t="shared" si="8"/>
        <v>6</v>
      </c>
      <c r="N88" s="30">
        <v>285000</v>
      </c>
      <c r="O88" s="5" t="s">
        <v>1</v>
      </c>
      <c r="P88" s="5">
        <v>6</v>
      </c>
      <c r="Q88" s="18">
        <v>5</v>
      </c>
      <c r="R88" s="5"/>
      <c r="S88" s="5">
        <f t="shared" si="9"/>
        <v>5</v>
      </c>
      <c r="T88" s="41"/>
      <c r="U88" s="5" t="s">
        <v>1</v>
      </c>
      <c r="V88" s="5">
        <f t="shared" si="10"/>
        <v>5</v>
      </c>
      <c r="W88" s="5">
        <v>5</v>
      </c>
      <c r="X88" s="5"/>
      <c r="Y88" s="5">
        <f t="shared" si="11"/>
        <v>5</v>
      </c>
      <c r="Z88" s="41"/>
      <c r="AA88" s="5" t="s">
        <v>1</v>
      </c>
      <c r="AB88" s="5">
        <f t="shared" si="12"/>
        <v>5</v>
      </c>
      <c r="AC88" s="5">
        <v>5</v>
      </c>
      <c r="AD88" s="5"/>
      <c r="AE88" s="5">
        <f t="shared" si="13"/>
        <v>5</v>
      </c>
      <c r="AF88" s="30"/>
      <c r="AG88" s="5" t="s">
        <v>1</v>
      </c>
      <c r="AH88" s="5">
        <f t="shared" si="14"/>
        <v>5</v>
      </c>
      <c r="AI88" s="5">
        <v>4</v>
      </c>
      <c r="AJ88" s="5"/>
      <c r="AK88" s="5">
        <f t="shared" si="15"/>
        <v>4</v>
      </c>
      <c r="AL88" s="5"/>
      <c r="AM88" s="45"/>
    </row>
    <row r="89" spans="1:39" x14ac:dyDescent="0.2">
      <c r="A89" s="5">
        <v>84</v>
      </c>
      <c r="B89" s="6" t="s">
        <v>109</v>
      </c>
      <c r="C89" s="5" t="s">
        <v>1</v>
      </c>
      <c r="D89" s="5">
        <v>2</v>
      </c>
      <c r="E89" s="5">
        <v>2</v>
      </c>
      <c r="F89" s="18"/>
      <c r="G89" s="5">
        <v>2</v>
      </c>
      <c r="H89" s="13"/>
      <c r="I89" s="5" t="s">
        <v>1</v>
      </c>
      <c r="J89" s="5">
        <v>2</v>
      </c>
      <c r="K89" s="5">
        <v>2</v>
      </c>
      <c r="L89" s="5"/>
      <c r="M89" s="5">
        <f t="shared" si="8"/>
        <v>2</v>
      </c>
      <c r="N89" s="30"/>
      <c r="O89" s="5" t="s">
        <v>1</v>
      </c>
      <c r="P89" s="5">
        <v>2</v>
      </c>
      <c r="Q89" s="18">
        <v>2</v>
      </c>
      <c r="R89" s="5"/>
      <c r="S89" s="5">
        <f t="shared" si="9"/>
        <v>2</v>
      </c>
      <c r="T89" s="41"/>
      <c r="U89" s="5" t="s">
        <v>1</v>
      </c>
      <c r="V89" s="5">
        <f t="shared" si="10"/>
        <v>2</v>
      </c>
      <c r="W89" s="5">
        <v>1</v>
      </c>
      <c r="X89" s="5"/>
      <c r="Y89" s="5">
        <f t="shared" si="11"/>
        <v>1</v>
      </c>
      <c r="Z89" s="41"/>
      <c r="AA89" s="5" t="s">
        <v>1</v>
      </c>
      <c r="AB89" s="5">
        <f t="shared" si="12"/>
        <v>1</v>
      </c>
      <c r="AC89" s="5">
        <v>1</v>
      </c>
      <c r="AD89" s="5"/>
      <c r="AE89" s="5">
        <f t="shared" si="13"/>
        <v>1</v>
      </c>
      <c r="AF89" s="30"/>
      <c r="AG89" s="5" t="s">
        <v>1</v>
      </c>
      <c r="AH89" s="5">
        <f t="shared" si="14"/>
        <v>1</v>
      </c>
      <c r="AI89" s="5">
        <v>0</v>
      </c>
      <c r="AJ89" s="5">
        <v>3</v>
      </c>
      <c r="AK89" s="5">
        <f t="shared" si="15"/>
        <v>3</v>
      </c>
      <c r="AL89" s="5"/>
      <c r="AM89" s="45"/>
    </row>
    <row r="90" spans="1:39" x14ac:dyDescent="0.2">
      <c r="A90" s="5">
        <v>85</v>
      </c>
      <c r="B90" s="6" t="s">
        <v>67</v>
      </c>
      <c r="C90" s="5" t="s">
        <v>1</v>
      </c>
      <c r="D90" s="5">
        <v>15</v>
      </c>
      <c r="E90" s="5">
        <v>14</v>
      </c>
      <c r="F90" s="18"/>
      <c r="G90" s="5">
        <v>14</v>
      </c>
      <c r="H90" s="13"/>
      <c r="I90" s="5" t="s">
        <v>1</v>
      </c>
      <c r="J90" s="5">
        <v>14</v>
      </c>
      <c r="K90" s="5">
        <v>13</v>
      </c>
      <c r="L90" s="5"/>
      <c r="M90" s="5">
        <f t="shared" si="8"/>
        <v>13</v>
      </c>
      <c r="N90" s="30"/>
      <c r="O90" s="5" t="s">
        <v>1</v>
      </c>
      <c r="P90" s="5">
        <v>13</v>
      </c>
      <c r="Q90" s="18">
        <v>12</v>
      </c>
      <c r="R90" s="5"/>
      <c r="S90" s="5">
        <f t="shared" si="9"/>
        <v>12</v>
      </c>
      <c r="T90" s="41"/>
      <c r="U90" s="5" t="s">
        <v>1</v>
      </c>
      <c r="V90" s="5">
        <f t="shared" si="10"/>
        <v>12</v>
      </c>
      <c r="W90" s="5">
        <v>11</v>
      </c>
      <c r="X90" s="5"/>
      <c r="Y90" s="5">
        <f t="shared" si="11"/>
        <v>11</v>
      </c>
      <c r="Z90" s="41"/>
      <c r="AA90" s="5" t="s">
        <v>1</v>
      </c>
      <c r="AB90" s="5">
        <f t="shared" si="12"/>
        <v>11</v>
      </c>
      <c r="AC90" s="5">
        <v>11</v>
      </c>
      <c r="AD90" s="5"/>
      <c r="AE90" s="5">
        <f t="shared" si="13"/>
        <v>11</v>
      </c>
      <c r="AF90" s="30"/>
      <c r="AG90" s="5" t="s">
        <v>1</v>
      </c>
      <c r="AH90" s="5">
        <f t="shared" si="14"/>
        <v>11</v>
      </c>
      <c r="AI90" s="5">
        <v>10</v>
      </c>
      <c r="AJ90" s="5"/>
      <c r="AK90" s="5">
        <f t="shared" si="15"/>
        <v>10</v>
      </c>
      <c r="AL90" s="5"/>
      <c r="AM90" s="45"/>
    </row>
    <row r="91" spans="1:39" x14ac:dyDescent="0.2">
      <c r="A91" s="5">
        <v>86</v>
      </c>
      <c r="B91" s="3" t="s">
        <v>87</v>
      </c>
      <c r="C91" s="18" t="s">
        <v>1</v>
      </c>
      <c r="D91" s="19">
        <v>1</v>
      </c>
      <c r="E91" s="19">
        <v>1</v>
      </c>
      <c r="F91" s="18"/>
      <c r="G91" s="19">
        <v>1</v>
      </c>
      <c r="H91" s="16"/>
      <c r="I91" s="18" t="s">
        <v>1</v>
      </c>
      <c r="J91" s="32">
        <v>1</v>
      </c>
      <c r="K91" s="5">
        <v>1</v>
      </c>
      <c r="L91" s="5"/>
      <c r="M91" s="5">
        <f t="shared" si="8"/>
        <v>1</v>
      </c>
      <c r="N91" s="30"/>
      <c r="O91" s="18" t="s">
        <v>1</v>
      </c>
      <c r="P91" s="5">
        <v>1</v>
      </c>
      <c r="Q91" s="18">
        <v>1</v>
      </c>
      <c r="R91" s="5"/>
      <c r="S91" s="5">
        <f t="shared" si="9"/>
        <v>1</v>
      </c>
      <c r="T91" s="41"/>
      <c r="U91" s="18" t="s">
        <v>1</v>
      </c>
      <c r="V91" s="5">
        <f t="shared" si="10"/>
        <v>1</v>
      </c>
      <c r="W91" s="5">
        <v>1</v>
      </c>
      <c r="X91" s="5"/>
      <c r="Y91" s="5">
        <f t="shared" si="11"/>
        <v>1</v>
      </c>
      <c r="Z91" s="41"/>
      <c r="AA91" s="18" t="s">
        <v>1</v>
      </c>
      <c r="AB91" s="5">
        <f t="shared" si="12"/>
        <v>1</v>
      </c>
      <c r="AC91" s="5">
        <v>1</v>
      </c>
      <c r="AD91" s="5"/>
      <c r="AE91" s="5">
        <f t="shared" si="13"/>
        <v>1</v>
      </c>
      <c r="AF91" s="30"/>
      <c r="AG91" s="18" t="s">
        <v>1</v>
      </c>
      <c r="AH91" s="5">
        <f t="shared" si="14"/>
        <v>1</v>
      </c>
      <c r="AI91" s="5">
        <v>1</v>
      </c>
      <c r="AJ91" s="5"/>
      <c r="AK91" s="5">
        <f t="shared" si="15"/>
        <v>1</v>
      </c>
      <c r="AL91" s="5"/>
      <c r="AM91" s="45"/>
    </row>
    <row r="92" spans="1:39" x14ac:dyDescent="0.2">
      <c r="A92" s="5">
        <v>87</v>
      </c>
      <c r="B92" s="6" t="s">
        <v>62</v>
      </c>
      <c r="C92" s="5" t="s">
        <v>1</v>
      </c>
      <c r="D92" s="5">
        <v>5</v>
      </c>
      <c r="E92" s="5">
        <v>1</v>
      </c>
      <c r="F92" s="18">
        <v>3</v>
      </c>
      <c r="G92" s="18">
        <v>4</v>
      </c>
      <c r="H92" s="13">
        <v>39000</v>
      </c>
      <c r="I92" s="5" t="s">
        <v>1</v>
      </c>
      <c r="J92" s="5">
        <v>4</v>
      </c>
      <c r="K92" s="5">
        <v>3</v>
      </c>
      <c r="L92" s="5"/>
      <c r="M92" s="5">
        <f t="shared" si="8"/>
        <v>3</v>
      </c>
      <c r="N92" s="30"/>
      <c r="O92" s="5" t="s">
        <v>1</v>
      </c>
      <c r="P92" s="5">
        <v>3</v>
      </c>
      <c r="Q92" s="18">
        <v>2</v>
      </c>
      <c r="R92" s="5">
        <v>5</v>
      </c>
      <c r="S92" s="5">
        <f t="shared" si="9"/>
        <v>7</v>
      </c>
      <c r="T92" s="41">
        <v>17500</v>
      </c>
      <c r="U92" s="5" t="s">
        <v>1</v>
      </c>
      <c r="V92" s="5">
        <f t="shared" si="10"/>
        <v>7</v>
      </c>
      <c r="W92" s="5">
        <v>5</v>
      </c>
      <c r="X92" s="5"/>
      <c r="Y92" s="5">
        <f t="shared" si="11"/>
        <v>5</v>
      </c>
      <c r="Z92" s="41"/>
      <c r="AA92" s="5" t="s">
        <v>1</v>
      </c>
      <c r="AB92" s="5">
        <f t="shared" si="12"/>
        <v>5</v>
      </c>
      <c r="AC92" s="5">
        <v>4</v>
      </c>
      <c r="AD92" s="5"/>
      <c r="AE92" s="5">
        <f t="shared" si="13"/>
        <v>4</v>
      </c>
      <c r="AF92" s="30"/>
      <c r="AG92" s="5" t="s">
        <v>1</v>
      </c>
      <c r="AH92" s="5">
        <f t="shared" si="14"/>
        <v>4</v>
      </c>
      <c r="AI92" s="5">
        <v>3</v>
      </c>
      <c r="AJ92" s="5"/>
      <c r="AK92" s="5">
        <f t="shared" si="15"/>
        <v>3</v>
      </c>
      <c r="AL92" s="5"/>
      <c r="AM92" s="45"/>
    </row>
    <row r="93" spans="1:39" x14ac:dyDescent="0.2">
      <c r="A93" s="5">
        <v>88</v>
      </c>
      <c r="B93" s="6" t="s">
        <v>118</v>
      </c>
      <c r="C93" s="5" t="s">
        <v>1</v>
      </c>
      <c r="D93" s="5">
        <v>5</v>
      </c>
      <c r="E93" s="5">
        <v>4</v>
      </c>
      <c r="F93" s="18"/>
      <c r="G93" s="5">
        <v>4</v>
      </c>
      <c r="H93" s="13"/>
      <c r="I93" s="5" t="s">
        <v>1</v>
      </c>
      <c r="J93" s="5">
        <v>4</v>
      </c>
      <c r="K93" s="5">
        <v>3</v>
      </c>
      <c r="L93" s="5"/>
      <c r="M93" s="5">
        <f t="shared" si="8"/>
        <v>3</v>
      </c>
      <c r="N93" s="30"/>
      <c r="O93" s="5" t="s">
        <v>1</v>
      </c>
      <c r="P93" s="5">
        <v>3</v>
      </c>
      <c r="Q93" s="18">
        <v>2</v>
      </c>
      <c r="R93" s="5"/>
      <c r="S93" s="5">
        <f t="shared" si="9"/>
        <v>2</v>
      </c>
      <c r="T93" s="41"/>
      <c r="U93" s="5" t="s">
        <v>1</v>
      </c>
      <c r="V93" s="5">
        <f t="shared" si="10"/>
        <v>2</v>
      </c>
      <c r="W93" s="5">
        <v>2</v>
      </c>
      <c r="X93" s="5"/>
      <c r="Y93" s="5">
        <f t="shared" si="11"/>
        <v>2</v>
      </c>
      <c r="Z93" s="41"/>
      <c r="AA93" s="5" t="s">
        <v>1</v>
      </c>
      <c r="AB93" s="5">
        <f t="shared" si="12"/>
        <v>2</v>
      </c>
      <c r="AC93" s="5">
        <v>2</v>
      </c>
      <c r="AD93" s="5"/>
      <c r="AE93" s="5">
        <f t="shared" si="13"/>
        <v>2</v>
      </c>
      <c r="AF93" s="30"/>
      <c r="AG93" s="5" t="s">
        <v>1</v>
      </c>
      <c r="AH93" s="5">
        <f t="shared" si="14"/>
        <v>2</v>
      </c>
      <c r="AI93" s="5">
        <v>2</v>
      </c>
      <c r="AJ93" s="5"/>
      <c r="AK93" s="5">
        <f t="shared" si="15"/>
        <v>2</v>
      </c>
      <c r="AL93" s="5"/>
      <c r="AM93" s="45"/>
    </row>
    <row r="94" spans="1:39" x14ac:dyDescent="0.2">
      <c r="A94" s="5">
        <v>89</v>
      </c>
      <c r="B94" s="6" t="s">
        <v>107</v>
      </c>
      <c r="C94" s="5" t="s">
        <v>1</v>
      </c>
      <c r="D94" s="5">
        <v>2</v>
      </c>
      <c r="E94" s="5">
        <v>2</v>
      </c>
      <c r="F94" s="18"/>
      <c r="G94" s="5">
        <v>2</v>
      </c>
      <c r="H94" s="13"/>
      <c r="I94" s="5" t="s">
        <v>1</v>
      </c>
      <c r="J94" s="5">
        <v>2</v>
      </c>
      <c r="K94" s="5">
        <v>1</v>
      </c>
      <c r="L94" s="5">
        <v>3</v>
      </c>
      <c r="M94" s="5">
        <f t="shared" si="8"/>
        <v>4</v>
      </c>
      <c r="N94" s="30">
        <v>15000</v>
      </c>
      <c r="O94" s="5" t="s">
        <v>1</v>
      </c>
      <c r="P94" s="5">
        <v>4</v>
      </c>
      <c r="Q94" s="18">
        <v>2</v>
      </c>
      <c r="R94" s="5"/>
      <c r="S94" s="5">
        <f t="shared" si="9"/>
        <v>2</v>
      </c>
      <c r="T94" s="41"/>
      <c r="U94" s="5" t="s">
        <v>1</v>
      </c>
      <c r="V94" s="5">
        <f t="shared" si="10"/>
        <v>2</v>
      </c>
      <c r="W94" s="5">
        <v>2</v>
      </c>
      <c r="X94" s="5"/>
      <c r="Y94" s="5">
        <f t="shared" si="11"/>
        <v>2</v>
      </c>
      <c r="Z94" s="41"/>
      <c r="AA94" s="5" t="s">
        <v>1</v>
      </c>
      <c r="AB94" s="5">
        <f t="shared" si="12"/>
        <v>2</v>
      </c>
      <c r="AC94" s="5">
        <v>2</v>
      </c>
      <c r="AD94" s="5"/>
      <c r="AE94" s="5">
        <f t="shared" si="13"/>
        <v>2</v>
      </c>
      <c r="AF94" s="30"/>
      <c r="AG94" s="5" t="s">
        <v>1</v>
      </c>
      <c r="AH94" s="5">
        <f t="shared" si="14"/>
        <v>2</v>
      </c>
      <c r="AI94" s="5">
        <v>1</v>
      </c>
      <c r="AJ94" s="5">
        <v>2</v>
      </c>
      <c r="AK94" s="5">
        <f t="shared" si="15"/>
        <v>3</v>
      </c>
      <c r="AL94" s="5"/>
      <c r="AM94" s="45"/>
    </row>
    <row r="95" spans="1:39" x14ac:dyDescent="0.2">
      <c r="A95" s="5">
        <v>90</v>
      </c>
      <c r="B95" s="3" t="s">
        <v>77</v>
      </c>
      <c r="C95" s="18" t="s">
        <v>1</v>
      </c>
      <c r="D95" s="20">
        <v>8</v>
      </c>
      <c r="E95" s="20">
        <v>7</v>
      </c>
      <c r="F95" s="18"/>
      <c r="G95" s="20">
        <v>7</v>
      </c>
      <c r="H95" s="15"/>
      <c r="I95" s="18" t="s">
        <v>1</v>
      </c>
      <c r="J95" s="35">
        <v>7</v>
      </c>
      <c r="K95" s="31">
        <v>5</v>
      </c>
      <c r="L95" s="31"/>
      <c r="M95" s="5">
        <f t="shared" si="8"/>
        <v>5</v>
      </c>
      <c r="N95" s="29"/>
      <c r="O95" s="18" t="s">
        <v>1</v>
      </c>
      <c r="P95" s="31">
        <v>5</v>
      </c>
      <c r="Q95" s="28">
        <v>4</v>
      </c>
      <c r="R95" s="31"/>
      <c r="S95" s="5">
        <f t="shared" si="9"/>
        <v>4</v>
      </c>
      <c r="T95" s="42"/>
      <c r="U95" s="18" t="s">
        <v>1</v>
      </c>
      <c r="V95" s="5">
        <f t="shared" si="10"/>
        <v>4</v>
      </c>
      <c r="W95" s="31">
        <v>3</v>
      </c>
      <c r="X95" s="43"/>
      <c r="Y95" s="5">
        <f t="shared" si="11"/>
        <v>3</v>
      </c>
      <c r="Z95" s="41"/>
      <c r="AA95" s="18" t="s">
        <v>1</v>
      </c>
      <c r="AB95" s="5">
        <f t="shared" si="12"/>
        <v>3</v>
      </c>
      <c r="AC95" s="5">
        <v>2</v>
      </c>
      <c r="AD95" s="5"/>
      <c r="AE95" s="5">
        <f t="shared" si="13"/>
        <v>2</v>
      </c>
      <c r="AF95" s="30"/>
      <c r="AG95" s="18" t="s">
        <v>1</v>
      </c>
      <c r="AH95" s="5">
        <f t="shared" si="14"/>
        <v>2</v>
      </c>
      <c r="AI95" s="5">
        <v>2</v>
      </c>
      <c r="AJ95" s="5"/>
      <c r="AK95" s="5">
        <f t="shared" si="15"/>
        <v>2</v>
      </c>
      <c r="AL95" s="5"/>
      <c r="AM95" s="45"/>
    </row>
    <row r="96" spans="1:39" x14ac:dyDescent="0.2">
      <c r="A96" s="5"/>
      <c r="B96" s="9" t="s">
        <v>63</v>
      </c>
      <c r="C96" s="18" t="s">
        <v>1</v>
      </c>
      <c r="D96" s="19">
        <v>3</v>
      </c>
      <c r="E96" s="19">
        <v>3</v>
      </c>
      <c r="F96" s="18"/>
      <c r="G96" s="19">
        <v>3</v>
      </c>
      <c r="H96" s="16"/>
      <c r="I96" s="18" t="s">
        <v>1</v>
      </c>
      <c r="J96" s="32">
        <v>3</v>
      </c>
      <c r="K96" s="31">
        <v>3</v>
      </c>
      <c r="L96" s="31"/>
      <c r="M96" s="5">
        <f t="shared" si="8"/>
        <v>3</v>
      </c>
      <c r="N96" s="29"/>
      <c r="O96" s="18" t="s">
        <v>1</v>
      </c>
      <c r="P96" s="31">
        <v>3</v>
      </c>
      <c r="Q96" s="28">
        <v>3</v>
      </c>
      <c r="R96" s="31"/>
      <c r="S96" s="5">
        <f t="shared" si="9"/>
        <v>3</v>
      </c>
      <c r="T96" s="42"/>
      <c r="U96" s="18" t="s">
        <v>1</v>
      </c>
      <c r="V96" s="5">
        <f t="shared" si="10"/>
        <v>3</v>
      </c>
      <c r="W96" s="31">
        <v>3</v>
      </c>
      <c r="X96" s="43"/>
      <c r="Y96" s="5">
        <f t="shared" si="11"/>
        <v>3</v>
      </c>
      <c r="Z96" s="41"/>
      <c r="AA96" s="18" t="s">
        <v>1</v>
      </c>
      <c r="AB96" s="5">
        <f t="shared" si="12"/>
        <v>3</v>
      </c>
      <c r="AC96" s="5">
        <v>3</v>
      </c>
      <c r="AD96" s="5"/>
      <c r="AE96" s="5">
        <f t="shared" si="13"/>
        <v>3</v>
      </c>
      <c r="AF96" s="30"/>
      <c r="AG96" s="18" t="s">
        <v>1</v>
      </c>
      <c r="AH96" s="5">
        <f t="shared" si="14"/>
        <v>3</v>
      </c>
      <c r="AI96" s="5">
        <v>3</v>
      </c>
      <c r="AJ96" s="5"/>
      <c r="AK96" s="5">
        <f t="shared" si="15"/>
        <v>3</v>
      </c>
      <c r="AL96" s="5"/>
      <c r="AM96" s="45"/>
    </row>
    <row r="97" spans="1:39" x14ac:dyDescent="0.2">
      <c r="A97" s="5"/>
      <c r="B97" s="9" t="s">
        <v>64</v>
      </c>
      <c r="C97" s="18" t="s">
        <v>1</v>
      </c>
      <c r="D97" s="19">
        <v>2</v>
      </c>
      <c r="E97" s="19">
        <v>2</v>
      </c>
      <c r="F97" s="18"/>
      <c r="G97" s="19">
        <v>2</v>
      </c>
      <c r="H97" s="16"/>
      <c r="I97" s="18" t="s">
        <v>1</v>
      </c>
      <c r="J97" s="32">
        <v>2</v>
      </c>
      <c r="K97" s="31">
        <v>2</v>
      </c>
      <c r="L97" s="31"/>
      <c r="M97" s="5">
        <f t="shared" si="8"/>
        <v>2</v>
      </c>
      <c r="N97" s="29"/>
      <c r="O97" s="18" t="s">
        <v>1</v>
      </c>
      <c r="P97" s="31">
        <v>2</v>
      </c>
      <c r="Q97" s="28">
        <v>2</v>
      </c>
      <c r="R97" s="31"/>
      <c r="S97" s="5">
        <f t="shared" si="9"/>
        <v>2</v>
      </c>
      <c r="T97" s="42"/>
      <c r="U97" s="18" t="s">
        <v>1</v>
      </c>
      <c r="V97" s="5">
        <f t="shared" si="10"/>
        <v>2</v>
      </c>
      <c r="W97" s="31">
        <v>2</v>
      </c>
      <c r="X97" s="43"/>
      <c r="Y97" s="5">
        <f t="shared" si="11"/>
        <v>2</v>
      </c>
      <c r="Z97" s="41"/>
      <c r="AA97" s="18" t="s">
        <v>1</v>
      </c>
      <c r="AB97" s="5">
        <f t="shared" si="12"/>
        <v>2</v>
      </c>
      <c r="AC97" s="5">
        <v>2</v>
      </c>
      <c r="AD97" s="5"/>
      <c r="AE97" s="5">
        <f t="shared" si="13"/>
        <v>2</v>
      </c>
      <c r="AF97" s="30"/>
      <c r="AG97" s="18" t="s">
        <v>1</v>
      </c>
      <c r="AH97" s="5">
        <f t="shared" si="14"/>
        <v>2</v>
      </c>
      <c r="AI97" s="5">
        <v>2</v>
      </c>
      <c r="AJ97" s="5"/>
      <c r="AK97" s="5">
        <f t="shared" si="15"/>
        <v>2</v>
      </c>
      <c r="AL97" s="5"/>
      <c r="AM97" s="45"/>
    </row>
    <row r="98" spans="1:39" x14ac:dyDescent="0.2">
      <c r="A98" s="5"/>
      <c r="B98" s="9" t="s">
        <v>65</v>
      </c>
      <c r="C98" s="18" t="s">
        <v>1</v>
      </c>
      <c r="D98" s="19">
        <v>4</v>
      </c>
      <c r="E98" s="19">
        <v>4</v>
      </c>
      <c r="F98" s="18"/>
      <c r="G98" s="19">
        <v>4</v>
      </c>
      <c r="H98" s="16"/>
      <c r="I98" s="18" t="s">
        <v>1</v>
      </c>
      <c r="J98" s="32">
        <v>4</v>
      </c>
      <c r="K98" s="31">
        <v>4</v>
      </c>
      <c r="L98" s="31"/>
      <c r="M98" s="5">
        <f t="shared" si="8"/>
        <v>4</v>
      </c>
      <c r="N98" s="29"/>
      <c r="O98" s="18" t="s">
        <v>1</v>
      </c>
      <c r="P98" s="31">
        <v>4</v>
      </c>
      <c r="Q98" s="28">
        <v>4</v>
      </c>
      <c r="R98" s="31"/>
      <c r="S98" s="5">
        <f t="shared" si="9"/>
        <v>4</v>
      </c>
      <c r="T98" s="42"/>
      <c r="U98" s="18" t="s">
        <v>1</v>
      </c>
      <c r="V98" s="5">
        <f t="shared" si="10"/>
        <v>4</v>
      </c>
      <c r="W98" s="31">
        <v>4</v>
      </c>
      <c r="X98" s="43"/>
      <c r="Y98" s="5">
        <f t="shared" si="11"/>
        <v>4</v>
      </c>
      <c r="Z98" s="41"/>
      <c r="AA98" s="18" t="s">
        <v>1</v>
      </c>
      <c r="AB98" s="5">
        <f t="shared" si="12"/>
        <v>4</v>
      </c>
      <c r="AC98" s="5">
        <v>4</v>
      </c>
      <c r="AD98" s="5"/>
      <c r="AE98" s="5">
        <f t="shared" si="13"/>
        <v>4</v>
      </c>
      <c r="AF98" s="30"/>
      <c r="AG98" s="18" t="s">
        <v>1</v>
      </c>
      <c r="AH98" s="5">
        <f t="shared" si="14"/>
        <v>4</v>
      </c>
      <c r="AI98" s="5">
        <v>4</v>
      </c>
      <c r="AJ98" s="5"/>
      <c r="AK98" s="5">
        <f t="shared" si="15"/>
        <v>4</v>
      </c>
      <c r="AL98" s="5"/>
      <c r="AM98" s="45"/>
    </row>
    <row r="99" spans="1:39" x14ac:dyDescent="0.2">
      <c r="A99" s="5"/>
      <c r="B99" s="9" t="s">
        <v>66</v>
      </c>
      <c r="C99" s="18" t="s">
        <v>1</v>
      </c>
      <c r="D99" s="19">
        <v>2</v>
      </c>
      <c r="E99" s="19">
        <v>2</v>
      </c>
      <c r="F99" s="18"/>
      <c r="G99" s="19">
        <v>2</v>
      </c>
      <c r="H99" s="16"/>
      <c r="I99" s="18" t="s">
        <v>1</v>
      </c>
      <c r="J99" s="32">
        <v>2</v>
      </c>
      <c r="K99" s="31">
        <v>2</v>
      </c>
      <c r="L99" s="31"/>
      <c r="M99" s="5">
        <f t="shared" si="8"/>
        <v>2</v>
      </c>
      <c r="N99" s="29"/>
      <c r="O99" s="18" t="s">
        <v>1</v>
      </c>
      <c r="P99" s="31">
        <v>2</v>
      </c>
      <c r="Q99" s="28">
        <v>2</v>
      </c>
      <c r="R99" s="31"/>
      <c r="S99" s="5">
        <f t="shared" si="9"/>
        <v>2</v>
      </c>
      <c r="T99" s="42"/>
      <c r="U99" s="18" t="s">
        <v>1</v>
      </c>
      <c r="V99" s="5">
        <f t="shared" si="10"/>
        <v>2</v>
      </c>
      <c r="W99" s="31">
        <v>2</v>
      </c>
      <c r="X99" s="43"/>
      <c r="Y99" s="5">
        <f t="shared" si="11"/>
        <v>2</v>
      </c>
      <c r="Z99" s="41"/>
      <c r="AA99" s="18" t="s">
        <v>1</v>
      </c>
      <c r="AB99" s="5">
        <f t="shared" si="12"/>
        <v>2</v>
      </c>
      <c r="AC99" s="5">
        <v>2</v>
      </c>
      <c r="AD99" s="5"/>
      <c r="AE99" s="5">
        <f t="shared" si="13"/>
        <v>2</v>
      </c>
      <c r="AF99" s="30"/>
      <c r="AG99" s="18" t="s">
        <v>1</v>
      </c>
      <c r="AH99" s="5">
        <f t="shared" si="14"/>
        <v>2</v>
      </c>
      <c r="AI99" s="5">
        <v>2</v>
      </c>
      <c r="AJ99" s="5"/>
      <c r="AK99" s="5">
        <f t="shared" si="15"/>
        <v>2</v>
      </c>
      <c r="AL99" s="5"/>
      <c r="AM99" s="45"/>
    </row>
    <row r="100" spans="1:39" x14ac:dyDescent="0.2">
      <c r="A100" s="5"/>
      <c r="B100" s="9" t="s">
        <v>63</v>
      </c>
      <c r="C100" s="18" t="s">
        <v>1</v>
      </c>
      <c r="D100" s="19">
        <v>4</v>
      </c>
      <c r="E100" s="19">
        <v>4</v>
      </c>
      <c r="F100" s="18"/>
      <c r="G100" s="19">
        <v>4</v>
      </c>
      <c r="H100" s="16"/>
      <c r="I100" s="18" t="s">
        <v>1</v>
      </c>
      <c r="J100" s="32">
        <v>4</v>
      </c>
      <c r="K100" s="31">
        <v>4</v>
      </c>
      <c r="L100" s="31"/>
      <c r="M100" s="5">
        <f t="shared" si="8"/>
        <v>4</v>
      </c>
      <c r="N100" s="29"/>
      <c r="O100" s="18" t="s">
        <v>1</v>
      </c>
      <c r="P100" s="31">
        <v>4</v>
      </c>
      <c r="Q100" s="28">
        <v>4</v>
      </c>
      <c r="R100" s="31"/>
      <c r="S100" s="5">
        <f t="shared" si="9"/>
        <v>4</v>
      </c>
      <c r="T100" s="42"/>
      <c r="U100" s="18" t="s">
        <v>1</v>
      </c>
      <c r="V100" s="5">
        <f t="shared" si="10"/>
        <v>4</v>
      </c>
      <c r="W100" s="31">
        <v>4</v>
      </c>
      <c r="X100" s="43"/>
      <c r="Y100" s="5">
        <f t="shared" si="11"/>
        <v>4</v>
      </c>
      <c r="Z100" s="41"/>
      <c r="AA100" s="18" t="s">
        <v>1</v>
      </c>
      <c r="AB100" s="5">
        <f t="shared" si="12"/>
        <v>4</v>
      </c>
      <c r="AC100" s="5">
        <v>4</v>
      </c>
      <c r="AD100" s="5"/>
      <c r="AE100" s="5">
        <f t="shared" si="13"/>
        <v>4</v>
      </c>
      <c r="AF100" s="30"/>
      <c r="AG100" s="18" t="s">
        <v>1</v>
      </c>
      <c r="AH100" s="5">
        <f t="shared" si="14"/>
        <v>4</v>
      </c>
      <c r="AI100" s="5">
        <v>4</v>
      </c>
      <c r="AJ100" s="5"/>
      <c r="AK100" s="5">
        <f t="shared" si="15"/>
        <v>4</v>
      </c>
      <c r="AL100" s="5"/>
      <c r="AM100" s="45"/>
    </row>
    <row r="101" spans="1:39" x14ac:dyDescent="0.2">
      <c r="A101" s="5"/>
      <c r="B101" s="9" t="s">
        <v>64</v>
      </c>
      <c r="C101" s="18" t="s">
        <v>1</v>
      </c>
      <c r="D101" s="19">
        <v>3</v>
      </c>
      <c r="E101" s="19">
        <v>3</v>
      </c>
      <c r="F101" s="18"/>
      <c r="G101" s="19">
        <v>3</v>
      </c>
      <c r="H101" s="16"/>
      <c r="I101" s="18" t="s">
        <v>1</v>
      </c>
      <c r="J101" s="32">
        <v>3</v>
      </c>
      <c r="K101" s="31">
        <v>3</v>
      </c>
      <c r="L101" s="31"/>
      <c r="M101" s="5">
        <f t="shared" si="8"/>
        <v>3</v>
      </c>
      <c r="N101" s="29"/>
      <c r="O101" s="18" t="s">
        <v>1</v>
      </c>
      <c r="P101" s="31">
        <v>3</v>
      </c>
      <c r="Q101" s="28">
        <v>3</v>
      </c>
      <c r="R101" s="31"/>
      <c r="S101" s="5">
        <f t="shared" si="9"/>
        <v>3</v>
      </c>
      <c r="T101" s="42"/>
      <c r="U101" s="18" t="s">
        <v>1</v>
      </c>
      <c r="V101" s="5">
        <f t="shared" si="10"/>
        <v>3</v>
      </c>
      <c r="W101" s="31">
        <v>3</v>
      </c>
      <c r="X101" s="43"/>
      <c r="Y101" s="5">
        <f t="shared" si="11"/>
        <v>3</v>
      </c>
      <c r="Z101" s="41"/>
      <c r="AA101" s="18" t="s">
        <v>1</v>
      </c>
      <c r="AB101" s="5">
        <f t="shared" si="12"/>
        <v>3</v>
      </c>
      <c r="AC101" s="5">
        <v>3</v>
      </c>
      <c r="AD101" s="5"/>
      <c r="AE101" s="5">
        <f t="shared" si="13"/>
        <v>3</v>
      </c>
      <c r="AF101" s="30"/>
      <c r="AG101" s="18" t="s">
        <v>1</v>
      </c>
      <c r="AH101" s="5">
        <f t="shared" si="14"/>
        <v>3</v>
      </c>
      <c r="AI101" s="5">
        <v>3</v>
      </c>
      <c r="AJ101" s="5"/>
      <c r="AK101" s="5">
        <f t="shared" si="15"/>
        <v>3</v>
      </c>
      <c r="AL101" s="5"/>
      <c r="AM101" s="45"/>
    </row>
    <row r="102" spans="1:39" x14ac:dyDescent="0.2">
      <c r="A102" s="5"/>
      <c r="B102" s="9" t="s">
        <v>65</v>
      </c>
      <c r="C102" s="18" t="s">
        <v>1</v>
      </c>
      <c r="D102" s="19">
        <v>3</v>
      </c>
      <c r="E102" s="19">
        <v>3</v>
      </c>
      <c r="F102" s="18"/>
      <c r="G102" s="19">
        <v>3</v>
      </c>
      <c r="H102" s="16"/>
      <c r="I102" s="18" t="s">
        <v>1</v>
      </c>
      <c r="J102" s="32">
        <v>3</v>
      </c>
      <c r="K102" s="31">
        <v>3</v>
      </c>
      <c r="L102" s="31"/>
      <c r="M102" s="5">
        <f t="shared" si="8"/>
        <v>3</v>
      </c>
      <c r="N102" s="29"/>
      <c r="O102" s="18" t="s">
        <v>1</v>
      </c>
      <c r="P102" s="31">
        <v>3</v>
      </c>
      <c r="Q102" s="28">
        <v>3</v>
      </c>
      <c r="R102" s="31"/>
      <c r="S102" s="5">
        <f t="shared" si="9"/>
        <v>3</v>
      </c>
      <c r="T102" s="42"/>
      <c r="U102" s="18" t="s">
        <v>1</v>
      </c>
      <c r="V102" s="5">
        <f t="shared" si="10"/>
        <v>3</v>
      </c>
      <c r="W102" s="31">
        <v>3</v>
      </c>
      <c r="X102" s="43"/>
      <c r="Y102" s="5">
        <f t="shared" si="11"/>
        <v>3</v>
      </c>
      <c r="Z102" s="41"/>
      <c r="AA102" s="18" t="s">
        <v>1</v>
      </c>
      <c r="AB102" s="5">
        <f t="shared" si="12"/>
        <v>3</v>
      </c>
      <c r="AC102" s="5">
        <v>3</v>
      </c>
      <c r="AD102" s="5"/>
      <c r="AE102" s="5">
        <f t="shared" si="13"/>
        <v>3</v>
      </c>
      <c r="AF102" s="30"/>
      <c r="AG102" s="18" t="s">
        <v>1</v>
      </c>
      <c r="AH102" s="5">
        <f t="shared" si="14"/>
        <v>3</v>
      </c>
      <c r="AI102" s="5">
        <v>3</v>
      </c>
      <c r="AJ102" s="5"/>
      <c r="AK102" s="5">
        <f t="shared" si="15"/>
        <v>3</v>
      </c>
      <c r="AL102" s="5"/>
      <c r="AM102" s="45"/>
    </row>
    <row r="103" spans="1:39" x14ac:dyDescent="0.2">
      <c r="A103" s="5"/>
      <c r="B103" s="9" t="s">
        <v>66</v>
      </c>
      <c r="C103" s="18" t="s">
        <v>1</v>
      </c>
      <c r="D103" s="19">
        <v>4</v>
      </c>
      <c r="E103" s="19">
        <v>4</v>
      </c>
      <c r="F103" s="18"/>
      <c r="G103" s="19">
        <v>4</v>
      </c>
      <c r="H103" s="16"/>
      <c r="I103" s="18" t="s">
        <v>1</v>
      </c>
      <c r="J103" s="32">
        <v>4</v>
      </c>
      <c r="K103" s="31">
        <v>4</v>
      </c>
      <c r="L103" s="31"/>
      <c r="M103" s="5">
        <f t="shared" si="8"/>
        <v>4</v>
      </c>
      <c r="N103" s="29"/>
      <c r="O103" s="18" t="s">
        <v>1</v>
      </c>
      <c r="P103" s="31">
        <v>4</v>
      </c>
      <c r="Q103" s="28">
        <v>4</v>
      </c>
      <c r="R103" s="31"/>
      <c r="S103" s="5">
        <f t="shared" si="9"/>
        <v>4</v>
      </c>
      <c r="T103" s="42"/>
      <c r="U103" s="18" t="s">
        <v>1</v>
      </c>
      <c r="V103" s="5">
        <f t="shared" si="10"/>
        <v>4</v>
      </c>
      <c r="W103" s="31">
        <v>4</v>
      </c>
      <c r="X103" s="43"/>
      <c r="Y103" s="5">
        <f t="shared" si="11"/>
        <v>4</v>
      </c>
      <c r="Z103" s="41"/>
      <c r="AA103" s="18" t="s">
        <v>1</v>
      </c>
      <c r="AB103" s="5">
        <f t="shared" si="12"/>
        <v>4</v>
      </c>
      <c r="AC103" s="5">
        <v>4</v>
      </c>
      <c r="AD103" s="5"/>
      <c r="AE103" s="5">
        <f t="shared" si="13"/>
        <v>4</v>
      </c>
      <c r="AF103" s="30"/>
      <c r="AG103" s="18" t="s">
        <v>1</v>
      </c>
      <c r="AH103" s="5">
        <f t="shared" si="14"/>
        <v>4</v>
      </c>
      <c r="AI103" s="5">
        <v>4</v>
      </c>
      <c r="AJ103" s="5"/>
      <c r="AK103" s="5">
        <f t="shared" si="15"/>
        <v>4</v>
      </c>
      <c r="AL103" s="5"/>
      <c r="AM103" s="45"/>
    </row>
    <row r="104" spans="1:39" x14ac:dyDescent="0.2">
      <c r="A104" s="5"/>
      <c r="B104" s="9" t="s">
        <v>63</v>
      </c>
      <c r="C104" s="18" t="s">
        <v>1</v>
      </c>
      <c r="D104" s="19">
        <v>3</v>
      </c>
      <c r="E104" s="19">
        <v>3</v>
      </c>
      <c r="F104" s="22"/>
      <c r="G104" s="19">
        <v>3</v>
      </c>
      <c r="H104" s="16"/>
      <c r="I104" s="18" t="s">
        <v>1</v>
      </c>
      <c r="J104" s="32">
        <v>3</v>
      </c>
      <c r="K104" s="31">
        <v>3</v>
      </c>
      <c r="L104" s="31"/>
      <c r="M104" s="5">
        <f t="shared" si="8"/>
        <v>3</v>
      </c>
      <c r="N104" s="29"/>
      <c r="O104" s="18" t="s">
        <v>1</v>
      </c>
      <c r="P104" s="31">
        <v>3</v>
      </c>
      <c r="Q104" s="28">
        <v>3</v>
      </c>
      <c r="R104" s="31"/>
      <c r="S104" s="5">
        <f t="shared" si="9"/>
        <v>3</v>
      </c>
      <c r="T104" s="42"/>
      <c r="U104" s="18" t="s">
        <v>1</v>
      </c>
      <c r="V104" s="5">
        <f t="shared" si="10"/>
        <v>3</v>
      </c>
      <c r="W104" s="31">
        <v>3</v>
      </c>
      <c r="X104" s="43"/>
      <c r="Y104" s="5">
        <f t="shared" si="11"/>
        <v>3</v>
      </c>
      <c r="Z104" s="41"/>
      <c r="AA104" s="18" t="s">
        <v>1</v>
      </c>
      <c r="AB104" s="5">
        <f t="shared" si="12"/>
        <v>3</v>
      </c>
      <c r="AC104" s="5">
        <v>3</v>
      </c>
      <c r="AD104" s="5"/>
      <c r="AE104" s="5">
        <f t="shared" si="13"/>
        <v>3</v>
      </c>
      <c r="AF104" s="30"/>
      <c r="AG104" s="18" t="s">
        <v>1</v>
      </c>
      <c r="AH104" s="5">
        <f t="shared" si="14"/>
        <v>3</v>
      </c>
      <c r="AI104" s="5">
        <v>3</v>
      </c>
      <c r="AJ104" s="5"/>
      <c r="AK104" s="5">
        <f t="shared" si="15"/>
        <v>3</v>
      </c>
      <c r="AL104" s="5"/>
      <c r="AM104" s="45"/>
    </row>
    <row r="105" spans="1:39" x14ac:dyDescent="0.2">
      <c r="A105" s="5"/>
      <c r="B105" s="9" t="s">
        <v>64</v>
      </c>
      <c r="C105" s="18" t="s">
        <v>1</v>
      </c>
      <c r="D105" s="19">
        <v>3</v>
      </c>
      <c r="E105" s="19">
        <v>3</v>
      </c>
      <c r="F105" s="22"/>
      <c r="G105" s="19">
        <v>3</v>
      </c>
      <c r="H105" s="16"/>
      <c r="I105" s="18" t="s">
        <v>1</v>
      </c>
      <c r="J105" s="32">
        <v>3</v>
      </c>
      <c r="K105" s="31">
        <v>3</v>
      </c>
      <c r="L105" s="31"/>
      <c r="M105" s="5">
        <f t="shared" si="8"/>
        <v>3</v>
      </c>
      <c r="N105" s="29"/>
      <c r="O105" s="18" t="s">
        <v>1</v>
      </c>
      <c r="P105" s="31">
        <v>3</v>
      </c>
      <c r="Q105" s="28">
        <v>3</v>
      </c>
      <c r="R105" s="31"/>
      <c r="S105" s="5">
        <f t="shared" si="9"/>
        <v>3</v>
      </c>
      <c r="T105" s="42"/>
      <c r="U105" s="18" t="s">
        <v>1</v>
      </c>
      <c r="V105" s="5">
        <f t="shared" si="10"/>
        <v>3</v>
      </c>
      <c r="W105" s="31">
        <v>3</v>
      </c>
      <c r="X105" s="43"/>
      <c r="Y105" s="5">
        <f t="shared" si="11"/>
        <v>3</v>
      </c>
      <c r="Z105" s="41"/>
      <c r="AA105" s="18" t="s">
        <v>1</v>
      </c>
      <c r="AB105" s="5">
        <f t="shared" si="12"/>
        <v>3</v>
      </c>
      <c r="AC105" s="5">
        <v>3</v>
      </c>
      <c r="AD105" s="5"/>
      <c r="AE105" s="5">
        <f t="shared" si="13"/>
        <v>3</v>
      </c>
      <c r="AF105" s="30"/>
      <c r="AG105" s="18" t="s">
        <v>1</v>
      </c>
      <c r="AH105" s="5">
        <f t="shared" si="14"/>
        <v>3</v>
      </c>
      <c r="AI105" s="5">
        <v>3</v>
      </c>
      <c r="AJ105" s="5"/>
      <c r="AK105" s="5">
        <f t="shared" si="15"/>
        <v>3</v>
      </c>
      <c r="AL105" s="5"/>
      <c r="AM105" s="45"/>
    </row>
    <row r="106" spans="1:39" x14ac:dyDescent="0.2">
      <c r="A106" s="5"/>
      <c r="B106" s="9" t="s">
        <v>65</v>
      </c>
      <c r="C106" s="18" t="s">
        <v>1</v>
      </c>
      <c r="D106" s="19">
        <v>3</v>
      </c>
      <c r="E106" s="19">
        <v>3</v>
      </c>
      <c r="F106" s="22"/>
      <c r="G106" s="19">
        <v>3</v>
      </c>
      <c r="H106" s="16"/>
      <c r="I106" s="18" t="s">
        <v>1</v>
      </c>
      <c r="J106" s="32">
        <v>3</v>
      </c>
      <c r="K106" s="31">
        <v>3</v>
      </c>
      <c r="L106" s="31"/>
      <c r="M106" s="5">
        <f t="shared" si="8"/>
        <v>3</v>
      </c>
      <c r="N106" s="29"/>
      <c r="O106" s="18" t="s">
        <v>1</v>
      </c>
      <c r="P106" s="31">
        <v>3</v>
      </c>
      <c r="Q106" s="28">
        <v>3</v>
      </c>
      <c r="R106" s="31"/>
      <c r="S106" s="5">
        <f t="shared" si="9"/>
        <v>3</v>
      </c>
      <c r="T106" s="42"/>
      <c r="U106" s="18" t="s">
        <v>1</v>
      </c>
      <c r="V106" s="5">
        <f t="shared" si="10"/>
        <v>3</v>
      </c>
      <c r="W106" s="31">
        <v>3</v>
      </c>
      <c r="X106" s="43"/>
      <c r="Y106" s="5">
        <f t="shared" si="11"/>
        <v>3</v>
      </c>
      <c r="Z106" s="41"/>
      <c r="AA106" s="18" t="s">
        <v>1</v>
      </c>
      <c r="AB106" s="5">
        <f t="shared" si="12"/>
        <v>3</v>
      </c>
      <c r="AC106" s="5">
        <v>3</v>
      </c>
      <c r="AD106" s="5"/>
      <c r="AE106" s="5">
        <f t="shared" si="13"/>
        <v>3</v>
      </c>
      <c r="AF106" s="30"/>
      <c r="AG106" s="18" t="s">
        <v>1</v>
      </c>
      <c r="AH106" s="5">
        <f t="shared" si="14"/>
        <v>3</v>
      </c>
      <c r="AI106" s="5">
        <v>3</v>
      </c>
      <c r="AJ106" s="5"/>
      <c r="AK106" s="5">
        <f t="shared" si="15"/>
        <v>3</v>
      </c>
      <c r="AL106" s="5"/>
      <c r="AM106" s="45"/>
    </row>
    <row r="107" spans="1:39" x14ac:dyDescent="0.2">
      <c r="A107" s="5"/>
      <c r="B107" s="9" t="s">
        <v>66</v>
      </c>
      <c r="C107" s="18" t="s">
        <v>1</v>
      </c>
      <c r="D107" s="19">
        <v>3</v>
      </c>
      <c r="E107" s="19">
        <v>3</v>
      </c>
      <c r="F107" s="22"/>
      <c r="G107" s="19">
        <v>3</v>
      </c>
      <c r="H107" s="16"/>
      <c r="I107" s="18" t="s">
        <v>1</v>
      </c>
      <c r="J107" s="32">
        <v>3</v>
      </c>
      <c r="K107" s="31">
        <v>3</v>
      </c>
      <c r="L107" s="31"/>
      <c r="M107" s="5">
        <f t="shared" si="8"/>
        <v>3</v>
      </c>
      <c r="N107" s="29"/>
      <c r="O107" s="18" t="s">
        <v>1</v>
      </c>
      <c r="P107" s="31">
        <v>3</v>
      </c>
      <c r="Q107" s="28">
        <v>3</v>
      </c>
      <c r="R107" s="31"/>
      <c r="S107" s="5">
        <f t="shared" si="9"/>
        <v>3</v>
      </c>
      <c r="T107" s="42"/>
      <c r="U107" s="18" t="s">
        <v>1</v>
      </c>
      <c r="V107" s="5">
        <f t="shared" si="10"/>
        <v>3</v>
      </c>
      <c r="W107" s="31">
        <v>3</v>
      </c>
      <c r="X107" s="43"/>
      <c r="Y107" s="5">
        <f t="shared" si="11"/>
        <v>3</v>
      </c>
      <c r="Z107" s="41"/>
      <c r="AA107" s="18" t="s">
        <v>1</v>
      </c>
      <c r="AB107" s="5">
        <f t="shared" si="12"/>
        <v>3</v>
      </c>
      <c r="AC107" s="5">
        <v>3</v>
      </c>
      <c r="AD107" s="5"/>
      <c r="AE107" s="5">
        <f t="shared" si="13"/>
        <v>3</v>
      </c>
      <c r="AF107" s="30"/>
      <c r="AG107" s="18" t="s">
        <v>1</v>
      </c>
      <c r="AH107" s="5">
        <f t="shared" si="14"/>
        <v>3</v>
      </c>
      <c r="AI107" s="5">
        <v>3</v>
      </c>
      <c r="AJ107" s="5"/>
      <c r="AK107" s="5">
        <f t="shared" si="15"/>
        <v>3</v>
      </c>
      <c r="AL107" s="5"/>
      <c r="AM107" s="45"/>
    </row>
    <row r="108" spans="1:39" x14ac:dyDescent="0.2">
      <c r="A108" s="5"/>
      <c r="B108" s="9" t="s">
        <v>63</v>
      </c>
      <c r="C108" s="18" t="s">
        <v>1</v>
      </c>
      <c r="D108" s="19">
        <v>3</v>
      </c>
      <c r="E108" s="19">
        <v>3</v>
      </c>
      <c r="F108" s="22"/>
      <c r="G108" s="19">
        <v>3</v>
      </c>
      <c r="H108" s="16"/>
      <c r="I108" s="18" t="s">
        <v>1</v>
      </c>
      <c r="J108" s="32">
        <v>3</v>
      </c>
      <c r="K108" s="31">
        <v>3</v>
      </c>
      <c r="L108" s="31"/>
      <c r="M108" s="5">
        <f t="shared" si="8"/>
        <v>3</v>
      </c>
      <c r="N108" s="29"/>
      <c r="O108" s="18" t="s">
        <v>1</v>
      </c>
      <c r="P108" s="31">
        <v>3</v>
      </c>
      <c r="Q108" s="28">
        <v>3</v>
      </c>
      <c r="R108" s="31"/>
      <c r="S108" s="5">
        <f t="shared" si="9"/>
        <v>3</v>
      </c>
      <c r="T108" s="42"/>
      <c r="U108" s="18" t="s">
        <v>1</v>
      </c>
      <c r="V108" s="5">
        <f t="shared" si="10"/>
        <v>3</v>
      </c>
      <c r="W108" s="31">
        <v>3</v>
      </c>
      <c r="X108" s="43"/>
      <c r="Y108" s="5">
        <f t="shared" si="11"/>
        <v>3</v>
      </c>
      <c r="Z108" s="41"/>
      <c r="AA108" s="18" t="s">
        <v>1</v>
      </c>
      <c r="AB108" s="5">
        <f t="shared" si="12"/>
        <v>3</v>
      </c>
      <c r="AC108" s="5">
        <v>3</v>
      </c>
      <c r="AD108" s="5"/>
      <c r="AE108" s="5">
        <f t="shared" si="13"/>
        <v>3</v>
      </c>
      <c r="AF108" s="30"/>
      <c r="AG108" s="18" t="s">
        <v>1</v>
      </c>
      <c r="AH108" s="5">
        <f t="shared" si="14"/>
        <v>3</v>
      </c>
      <c r="AI108" s="5">
        <v>3</v>
      </c>
      <c r="AJ108" s="5"/>
      <c r="AK108" s="5">
        <f t="shared" si="15"/>
        <v>3</v>
      </c>
      <c r="AL108" s="5"/>
      <c r="AM108" s="45"/>
    </row>
    <row r="109" spans="1:39" x14ac:dyDescent="0.2">
      <c r="A109" s="5"/>
      <c r="B109" s="9" t="s">
        <v>64</v>
      </c>
      <c r="C109" s="18" t="s">
        <v>1</v>
      </c>
      <c r="D109" s="19">
        <v>3</v>
      </c>
      <c r="E109" s="19">
        <v>3</v>
      </c>
      <c r="F109" s="18"/>
      <c r="G109" s="19">
        <v>3</v>
      </c>
      <c r="H109" s="16"/>
      <c r="I109" s="18" t="s">
        <v>1</v>
      </c>
      <c r="J109" s="32">
        <v>3</v>
      </c>
      <c r="K109" s="31">
        <v>3</v>
      </c>
      <c r="L109" s="31"/>
      <c r="M109" s="5">
        <f t="shared" si="8"/>
        <v>3</v>
      </c>
      <c r="N109" s="29"/>
      <c r="O109" s="18" t="s">
        <v>1</v>
      </c>
      <c r="P109" s="31">
        <v>3</v>
      </c>
      <c r="Q109" s="28">
        <v>3</v>
      </c>
      <c r="R109" s="31"/>
      <c r="S109" s="5">
        <f t="shared" si="9"/>
        <v>3</v>
      </c>
      <c r="T109" s="42"/>
      <c r="U109" s="18" t="s">
        <v>1</v>
      </c>
      <c r="V109" s="5">
        <f t="shared" si="10"/>
        <v>3</v>
      </c>
      <c r="W109" s="31">
        <v>3</v>
      </c>
      <c r="X109" s="43"/>
      <c r="Y109" s="5">
        <f t="shared" si="11"/>
        <v>3</v>
      </c>
      <c r="Z109" s="41"/>
      <c r="AA109" s="18" t="s">
        <v>1</v>
      </c>
      <c r="AB109" s="5">
        <f t="shared" si="12"/>
        <v>3</v>
      </c>
      <c r="AC109" s="5">
        <v>3</v>
      </c>
      <c r="AD109" s="5"/>
      <c r="AE109" s="5">
        <f t="shared" si="13"/>
        <v>3</v>
      </c>
      <c r="AF109" s="30"/>
      <c r="AG109" s="18" t="s">
        <v>1</v>
      </c>
      <c r="AH109" s="5">
        <f t="shared" si="14"/>
        <v>3</v>
      </c>
      <c r="AI109" s="5">
        <v>3</v>
      </c>
      <c r="AJ109" s="5"/>
      <c r="AK109" s="5">
        <f t="shared" si="15"/>
        <v>3</v>
      </c>
      <c r="AL109" s="5"/>
      <c r="AM109" s="45"/>
    </row>
    <row r="110" spans="1:39" x14ac:dyDescent="0.2">
      <c r="A110" s="5"/>
      <c r="B110" s="9" t="s">
        <v>65</v>
      </c>
      <c r="C110" s="18" t="s">
        <v>1</v>
      </c>
      <c r="D110" s="19">
        <v>3</v>
      </c>
      <c r="E110" s="19">
        <v>3</v>
      </c>
      <c r="F110" s="22"/>
      <c r="G110" s="19">
        <v>3</v>
      </c>
      <c r="H110" s="16"/>
      <c r="I110" s="18" t="s">
        <v>1</v>
      </c>
      <c r="J110" s="32">
        <v>3</v>
      </c>
      <c r="K110" s="31">
        <v>3</v>
      </c>
      <c r="L110" s="31"/>
      <c r="M110" s="5">
        <f t="shared" si="8"/>
        <v>3</v>
      </c>
      <c r="N110" s="29"/>
      <c r="O110" s="18" t="s">
        <v>1</v>
      </c>
      <c r="P110" s="31">
        <v>3</v>
      </c>
      <c r="Q110" s="28">
        <v>3</v>
      </c>
      <c r="R110" s="31"/>
      <c r="S110" s="5">
        <f t="shared" si="9"/>
        <v>3</v>
      </c>
      <c r="T110" s="42"/>
      <c r="U110" s="18" t="s">
        <v>1</v>
      </c>
      <c r="V110" s="5">
        <f t="shared" si="10"/>
        <v>3</v>
      </c>
      <c r="W110" s="31">
        <v>3</v>
      </c>
      <c r="X110" s="43"/>
      <c r="Y110" s="5">
        <f t="shared" si="11"/>
        <v>3</v>
      </c>
      <c r="Z110" s="41"/>
      <c r="AA110" s="18" t="s">
        <v>1</v>
      </c>
      <c r="AB110" s="5">
        <f t="shared" si="12"/>
        <v>3</v>
      </c>
      <c r="AC110" s="5">
        <v>3</v>
      </c>
      <c r="AD110" s="5"/>
      <c r="AE110" s="5">
        <f t="shared" si="13"/>
        <v>3</v>
      </c>
      <c r="AF110" s="30"/>
      <c r="AG110" s="18" t="s">
        <v>1</v>
      </c>
      <c r="AH110" s="5">
        <f t="shared" si="14"/>
        <v>3</v>
      </c>
      <c r="AI110" s="5">
        <v>3</v>
      </c>
      <c r="AJ110" s="5"/>
      <c r="AK110" s="5">
        <f t="shared" si="15"/>
        <v>3</v>
      </c>
      <c r="AL110" s="5"/>
      <c r="AM110" s="45"/>
    </row>
    <row r="111" spans="1:39" x14ac:dyDescent="0.2">
      <c r="A111" s="5"/>
      <c r="B111" s="9" t="s">
        <v>66</v>
      </c>
      <c r="C111" s="18" t="s">
        <v>1</v>
      </c>
      <c r="D111" s="19">
        <v>3</v>
      </c>
      <c r="E111" s="19">
        <v>3</v>
      </c>
      <c r="F111" s="22"/>
      <c r="G111" s="19">
        <v>3</v>
      </c>
      <c r="H111" s="16"/>
      <c r="I111" s="18" t="s">
        <v>1</v>
      </c>
      <c r="J111" s="32">
        <v>3</v>
      </c>
      <c r="K111" s="31">
        <v>3</v>
      </c>
      <c r="L111" s="31"/>
      <c r="M111" s="5">
        <f t="shared" si="8"/>
        <v>3</v>
      </c>
      <c r="N111" s="29"/>
      <c r="O111" s="18" t="s">
        <v>1</v>
      </c>
      <c r="P111" s="31">
        <v>3</v>
      </c>
      <c r="Q111" s="28">
        <v>3</v>
      </c>
      <c r="R111" s="31"/>
      <c r="S111" s="5">
        <f t="shared" si="9"/>
        <v>3</v>
      </c>
      <c r="T111" s="42"/>
      <c r="U111" s="18" t="s">
        <v>1</v>
      </c>
      <c r="V111" s="5">
        <f t="shared" si="10"/>
        <v>3</v>
      </c>
      <c r="W111" s="31">
        <v>3</v>
      </c>
      <c r="X111" s="43"/>
      <c r="Y111" s="5">
        <f t="shared" si="11"/>
        <v>3</v>
      </c>
      <c r="Z111" s="41"/>
      <c r="AA111" s="18" t="s">
        <v>1</v>
      </c>
      <c r="AB111" s="5">
        <f t="shared" si="12"/>
        <v>3</v>
      </c>
      <c r="AC111" s="5">
        <v>3</v>
      </c>
      <c r="AD111" s="5"/>
      <c r="AE111" s="5">
        <f t="shared" si="13"/>
        <v>3</v>
      </c>
      <c r="AF111" s="30"/>
      <c r="AG111" s="18" t="s">
        <v>1</v>
      </c>
      <c r="AH111" s="5">
        <f t="shared" si="14"/>
        <v>3</v>
      </c>
      <c r="AI111" s="5">
        <v>3</v>
      </c>
      <c r="AJ111" s="5"/>
      <c r="AK111" s="5">
        <f t="shared" si="15"/>
        <v>3</v>
      </c>
      <c r="AL111" s="5"/>
      <c r="AM111" s="45"/>
    </row>
    <row r="112" spans="1:39" x14ac:dyDescent="0.2">
      <c r="A112" s="5">
        <v>96</v>
      </c>
      <c r="B112" s="3" t="s">
        <v>101</v>
      </c>
      <c r="C112" s="18" t="s">
        <v>1</v>
      </c>
      <c r="D112" s="19">
        <v>1</v>
      </c>
      <c r="E112" s="19">
        <v>1</v>
      </c>
      <c r="F112" s="18"/>
      <c r="G112" s="19">
        <v>1</v>
      </c>
      <c r="H112" s="16"/>
      <c r="I112" s="18" t="s">
        <v>1</v>
      </c>
      <c r="J112" s="32">
        <v>1</v>
      </c>
      <c r="K112" s="5">
        <v>1</v>
      </c>
      <c r="L112" s="5"/>
      <c r="M112" s="5">
        <f t="shared" si="8"/>
        <v>1</v>
      </c>
      <c r="N112" s="30"/>
      <c r="O112" s="18" t="s">
        <v>1</v>
      </c>
      <c r="P112" s="5">
        <v>1</v>
      </c>
      <c r="Q112" s="18">
        <v>1</v>
      </c>
      <c r="R112" s="5"/>
      <c r="S112" s="5">
        <f t="shared" si="9"/>
        <v>1</v>
      </c>
      <c r="T112" s="41"/>
      <c r="U112" s="18" t="s">
        <v>1</v>
      </c>
      <c r="V112" s="5">
        <f t="shared" si="10"/>
        <v>1</v>
      </c>
      <c r="W112" s="5">
        <v>1</v>
      </c>
      <c r="X112" s="5"/>
      <c r="Y112" s="5">
        <f t="shared" si="11"/>
        <v>1</v>
      </c>
      <c r="Z112" s="41"/>
      <c r="AA112" s="18" t="s">
        <v>1</v>
      </c>
      <c r="AB112" s="5">
        <f t="shared" si="12"/>
        <v>1</v>
      </c>
      <c r="AC112" s="5">
        <v>1</v>
      </c>
      <c r="AD112" s="5"/>
      <c r="AE112" s="5">
        <f t="shared" si="13"/>
        <v>1</v>
      </c>
      <c r="AF112" s="30"/>
      <c r="AG112" s="18" t="s">
        <v>1</v>
      </c>
      <c r="AH112" s="5">
        <f t="shared" si="14"/>
        <v>1</v>
      </c>
      <c r="AI112" s="5">
        <v>1</v>
      </c>
      <c r="AJ112" s="5"/>
      <c r="AK112" s="5">
        <f t="shared" si="15"/>
        <v>1</v>
      </c>
      <c r="AL112" s="5"/>
      <c r="AM112" s="45"/>
    </row>
    <row r="113" spans="1:39" x14ac:dyDescent="0.2">
      <c r="A113" s="5">
        <v>97</v>
      </c>
      <c r="B113" s="3" t="s">
        <v>88</v>
      </c>
      <c r="C113" s="18" t="s">
        <v>1</v>
      </c>
      <c r="D113" s="19">
        <v>3</v>
      </c>
      <c r="E113" s="19">
        <v>3</v>
      </c>
      <c r="F113" s="18"/>
      <c r="G113" s="19">
        <v>3</v>
      </c>
      <c r="H113" s="16"/>
      <c r="I113" s="18" t="s">
        <v>1</v>
      </c>
      <c r="J113" s="32">
        <v>3</v>
      </c>
      <c r="K113" s="5">
        <v>3</v>
      </c>
      <c r="L113" s="5"/>
      <c r="M113" s="5">
        <f t="shared" si="8"/>
        <v>3</v>
      </c>
      <c r="N113" s="30"/>
      <c r="O113" s="18" t="s">
        <v>1</v>
      </c>
      <c r="P113" s="5">
        <v>3</v>
      </c>
      <c r="Q113" s="18">
        <v>3</v>
      </c>
      <c r="R113" s="5"/>
      <c r="S113" s="5">
        <f t="shared" si="9"/>
        <v>3</v>
      </c>
      <c r="T113" s="41"/>
      <c r="U113" s="18" t="s">
        <v>1</v>
      </c>
      <c r="V113" s="5">
        <f t="shared" si="10"/>
        <v>3</v>
      </c>
      <c r="W113" s="5">
        <v>3</v>
      </c>
      <c r="X113" s="5"/>
      <c r="Y113" s="5">
        <f t="shared" si="11"/>
        <v>3</v>
      </c>
      <c r="Z113" s="41"/>
      <c r="AA113" s="18" t="s">
        <v>1</v>
      </c>
      <c r="AB113" s="5">
        <f t="shared" si="12"/>
        <v>3</v>
      </c>
      <c r="AC113" s="5">
        <v>3</v>
      </c>
      <c r="AD113" s="5"/>
      <c r="AE113" s="5">
        <f t="shared" si="13"/>
        <v>3</v>
      </c>
      <c r="AF113" s="30"/>
      <c r="AG113" s="18" t="s">
        <v>1</v>
      </c>
      <c r="AH113" s="5">
        <f t="shared" si="14"/>
        <v>3</v>
      </c>
      <c r="AI113" s="5">
        <v>3</v>
      </c>
      <c r="AJ113" s="5"/>
      <c r="AK113" s="5">
        <f t="shared" si="15"/>
        <v>3</v>
      </c>
      <c r="AL113" s="5"/>
      <c r="AM113" s="45"/>
    </row>
    <row r="114" spans="1:39" x14ac:dyDescent="0.2">
      <c r="A114" s="5">
        <v>98</v>
      </c>
      <c r="B114" s="3" t="s">
        <v>90</v>
      </c>
      <c r="C114" s="18" t="s">
        <v>1</v>
      </c>
      <c r="D114" s="19">
        <v>1</v>
      </c>
      <c r="E114" s="19">
        <v>1</v>
      </c>
      <c r="F114" s="18"/>
      <c r="G114" s="19">
        <v>1</v>
      </c>
      <c r="H114" s="16"/>
      <c r="I114" s="18" t="s">
        <v>1</v>
      </c>
      <c r="J114" s="32">
        <v>1</v>
      </c>
      <c r="K114" s="5">
        <v>1</v>
      </c>
      <c r="L114" s="5"/>
      <c r="M114" s="5">
        <f t="shared" si="8"/>
        <v>1</v>
      </c>
      <c r="N114" s="30"/>
      <c r="O114" s="18" t="s">
        <v>1</v>
      </c>
      <c r="P114" s="5">
        <v>1</v>
      </c>
      <c r="Q114" s="18">
        <v>1</v>
      </c>
      <c r="R114" s="5"/>
      <c r="S114" s="5">
        <f t="shared" si="9"/>
        <v>1</v>
      </c>
      <c r="T114" s="41"/>
      <c r="U114" s="18" t="s">
        <v>1</v>
      </c>
      <c r="V114" s="5">
        <f t="shared" si="10"/>
        <v>1</v>
      </c>
      <c r="W114" s="5">
        <v>1</v>
      </c>
      <c r="X114" s="5"/>
      <c r="Y114" s="5">
        <f t="shared" si="11"/>
        <v>1</v>
      </c>
      <c r="Z114" s="41"/>
      <c r="AA114" s="18" t="s">
        <v>1</v>
      </c>
      <c r="AB114" s="5">
        <f t="shared" si="12"/>
        <v>1</v>
      </c>
      <c r="AC114" s="5">
        <v>1</v>
      </c>
      <c r="AD114" s="5"/>
      <c r="AE114" s="5">
        <f t="shared" si="13"/>
        <v>1</v>
      </c>
      <c r="AF114" s="30"/>
      <c r="AG114" s="18" t="s">
        <v>1</v>
      </c>
      <c r="AH114" s="5">
        <f t="shared" si="14"/>
        <v>1</v>
      </c>
      <c r="AI114" s="5">
        <v>1</v>
      </c>
      <c r="AJ114" s="5"/>
      <c r="AK114" s="5">
        <f t="shared" si="15"/>
        <v>1</v>
      </c>
      <c r="AL114" s="5"/>
      <c r="AM114" s="45"/>
    </row>
    <row r="115" spans="1:39" x14ac:dyDescent="0.2">
      <c r="A115" s="5">
        <v>99</v>
      </c>
      <c r="B115" s="3" t="s">
        <v>91</v>
      </c>
      <c r="C115" s="18" t="s">
        <v>1</v>
      </c>
      <c r="D115" s="19">
        <v>1</v>
      </c>
      <c r="E115" s="19">
        <v>1</v>
      </c>
      <c r="F115" s="18"/>
      <c r="G115" s="19">
        <v>1</v>
      </c>
      <c r="H115" s="16"/>
      <c r="I115" s="18" t="s">
        <v>1</v>
      </c>
      <c r="J115" s="32">
        <v>1</v>
      </c>
      <c r="K115" s="5">
        <v>1</v>
      </c>
      <c r="L115" s="5"/>
      <c r="M115" s="5">
        <f t="shared" si="8"/>
        <v>1</v>
      </c>
      <c r="N115" s="30"/>
      <c r="O115" s="18" t="s">
        <v>1</v>
      </c>
      <c r="P115" s="5">
        <v>1</v>
      </c>
      <c r="Q115" s="18">
        <v>1</v>
      </c>
      <c r="R115" s="5"/>
      <c r="S115" s="5">
        <f t="shared" si="9"/>
        <v>1</v>
      </c>
      <c r="T115" s="41"/>
      <c r="U115" s="18" t="s">
        <v>1</v>
      </c>
      <c r="V115" s="5">
        <f t="shared" si="10"/>
        <v>1</v>
      </c>
      <c r="W115" s="5">
        <v>1</v>
      </c>
      <c r="X115" s="5"/>
      <c r="Y115" s="5">
        <f t="shared" si="11"/>
        <v>1</v>
      </c>
      <c r="Z115" s="41"/>
      <c r="AA115" s="18" t="s">
        <v>1</v>
      </c>
      <c r="AB115" s="5">
        <f t="shared" si="12"/>
        <v>1</v>
      </c>
      <c r="AC115" s="5">
        <v>1</v>
      </c>
      <c r="AD115" s="5"/>
      <c r="AE115" s="5">
        <f t="shared" si="13"/>
        <v>1</v>
      </c>
      <c r="AF115" s="30"/>
      <c r="AG115" s="18" t="s">
        <v>1</v>
      </c>
      <c r="AH115" s="5">
        <f t="shared" si="14"/>
        <v>1</v>
      </c>
      <c r="AI115" s="5">
        <v>1</v>
      </c>
      <c r="AJ115" s="5"/>
      <c r="AK115" s="5">
        <f t="shared" si="15"/>
        <v>1</v>
      </c>
      <c r="AL115" s="5"/>
      <c r="AM115" s="45"/>
    </row>
    <row r="116" spans="1:39" x14ac:dyDescent="0.2">
      <c r="A116" s="5">
        <v>100</v>
      </c>
      <c r="B116" s="3" t="s">
        <v>92</v>
      </c>
      <c r="C116" s="18" t="s">
        <v>1</v>
      </c>
      <c r="D116" s="19">
        <v>1</v>
      </c>
      <c r="E116" s="19">
        <v>1</v>
      </c>
      <c r="F116" s="18"/>
      <c r="G116" s="19">
        <v>1</v>
      </c>
      <c r="H116" s="16"/>
      <c r="I116" s="18" t="s">
        <v>1</v>
      </c>
      <c r="J116" s="32">
        <v>1</v>
      </c>
      <c r="K116" s="5">
        <v>1</v>
      </c>
      <c r="L116" s="5"/>
      <c r="M116" s="5">
        <f t="shared" si="8"/>
        <v>1</v>
      </c>
      <c r="N116" s="30"/>
      <c r="O116" s="18" t="s">
        <v>1</v>
      </c>
      <c r="P116" s="5">
        <v>1</v>
      </c>
      <c r="Q116" s="18">
        <v>1</v>
      </c>
      <c r="R116" s="5"/>
      <c r="S116" s="5">
        <f t="shared" si="9"/>
        <v>1</v>
      </c>
      <c r="T116" s="41"/>
      <c r="U116" s="18" t="s">
        <v>1</v>
      </c>
      <c r="V116" s="5">
        <f t="shared" si="10"/>
        <v>1</v>
      </c>
      <c r="W116" s="5">
        <v>1</v>
      </c>
      <c r="X116" s="5"/>
      <c r="Y116" s="5">
        <f t="shared" si="11"/>
        <v>1</v>
      </c>
      <c r="Z116" s="41"/>
      <c r="AA116" s="18" t="s">
        <v>1</v>
      </c>
      <c r="AB116" s="5">
        <f t="shared" si="12"/>
        <v>1</v>
      </c>
      <c r="AC116" s="5">
        <v>1</v>
      </c>
      <c r="AD116" s="5"/>
      <c r="AE116" s="5">
        <f t="shared" si="13"/>
        <v>1</v>
      </c>
      <c r="AF116" s="30"/>
      <c r="AG116" s="18" t="s">
        <v>1</v>
      </c>
      <c r="AH116" s="5">
        <f t="shared" si="14"/>
        <v>1</v>
      </c>
      <c r="AI116" s="5">
        <v>1</v>
      </c>
      <c r="AJ116" s="5"/>
      <c r="AK116" s="5">
        <f t="shared" si="15"/>
        <v>1</v>
      </c>
      <c r="AL116" s="5"/>
      <c r="AM116" s="45"/>
    </row>
    <row r="117" spans="1:39" x14ac:dyDescent="0.2">
      <c r="A117" s="5">
        <v>101</v>
      </c>
      <c r="B117" s="6" t="s">
        <v>36</v>
      </c>
      <c r="C117" s="5" t="s">
        <v>1</v>
      </c>
      <c r="D117" s="5">
        <v>12</v>
      </c>
      <c r="E117" s="5">
        <v>8</v>
      </c>
      <c r="F117" s="18">
        <v>2</v>
      </c>
      <c r="G117" s="18">
        <v>10</v>
      </c>
      <c r="H117" s="13">
        <v>19800</v>
      </c>
      <c r="I117" s="5" t="s">
        <v>1</v>
      </c>
      <c r="J117" s="5">
        <v>10</v>
      </c>
      <c r="K117" s="5">
        <v>7</v>
      </c>
      <c r="L117" s="5"/>
      <c r="M117" s="5">
        <f t="shared" si="8"/>
        <v>7</v>
      </c>
      <c r="N117" s="30"/>
      <c r="O117" s="5" t="s">
        <v>1</v>
      </c>
      <c r="P117" s="5">
        <v>7</v>
      </c>
      <c r="Q117" s="18">
        <v>5</v>
      </c>
      <c r="R117" s="5"/>
      <c r="S117" s="5">
        <f t="shared" si="9"/>
        <v>5</v>
      </c>
      <c r="T117" s="41"/>
      <c r="U117" s="5" t="s">
        <v>1</v>
      </c>
      <c r="V117" s="5">
        <f t="shared" si="10"/>
        <v>5</v>
      </c>
      <c r="W117" s="5">
        <v>5</v>
      </c>
      <c r="X117" s="5">
        <v>5</v>
      </c>
      <c r="Y117" s="5">
        <f t="shared" si="11"/>
        <v>10</v>
      </c>
      <c r="Z117" s="41">
        <v>35000</v>
      </c>
      <c r="AA117" s="5" t="s">
        <v>1</v>
      </c>
      <c r="AB117" s="5">
        <f t="shared" si="12"/>
        <v>10</v>
      </c>
      <c r="AC117" s="5">
        <v>10</v>
      </c>
      <c r="AD117" s="5"/>
      <c r="AE117" s="5">
        <f t="shared" si="13"/>
        <v>10</v>
      </c>
      <c r="AF117" s="30"/>
      <c r="AG117" s="5" t="s">
        <v>1</v>
      </c>
      <c r="AH117" s="5">
        <f t="shared" si="14"/>
        <v>10</v>
      </c>
      <c r="AI117" s="5">
        <v>10</v>
      </c>
      <c r="AJ117" s="5"/>
      <c r="AK117" s="5">
        <f t="shared" si="15"/>
        <v>10</v>
      </c>
      <c r="AL117" s="5"/>
      <c r="AM117" s="45"/>
    </row>
    <row r="118" spans="1:39" x14ac:dyDescent="0.2">
      <c r="A118" s="5">
        <v>102</v>
      </c>
      <c r="B118" s="6" t="s">
        <v>37</v>
      </c>
      <c r="C118" s="5" t="s">
        <v>1</v>
      </c>
      <c r="D118" s="5">
        <v>12</v>
      </c>
      <c r="E118" s="5">
        <v>8</v>
      </c>
      <c r="F118" s="18">
        <v>2</v>
      </c>
      <c r="G118" s="18">
        <v>10</v>
      </c>
      <c r="H118" s="13">
        <v>19800</v>
      </c>
      <c r="I118" s="5" t="s">
        <v>1</v>
      </c>
      <c r="J118" s="5">
        <v>10</v>
      </c>
      <c r="K118" s="5">
        <v>6</v>
      </c>
      <c r="L118" s="5"/>
      <c r="M118" s="5">
        <f t="shared" si="8"/>
        <v>6</v>
      </c>
      <c r="N118" s="30"/>
      <c r="O118" s="5" t="s">
        <v>1</v>
      </c>
      <c r="P118" s="5">
        <v>6</v>
      </c>
      <c r="Q118" s="18">
        <v>5</v>
      </c>
      <c r="R118" s="5"/>
      <c r="S118" s="5">
        <f t="shared" si="9"/>
        <v>5</v>
      </c>
      <c r="T118" s="41"/>
      <c r="U118" s="5" t="s">
        <v>1</v>
      </c>
      <c r="V118" s="5">
        <f t="shared" si="10"/>
        <v>5</v>
      </c>
      <c r="W118" s="5">
        <v>5</v>
      </c>
      <c r="X118" s="5">
        <v>5</v>
      </c>
      <c r="Y118" s="5">
        <f t="shared" si="11"/>
        <v>10</v>
      </c>
      <c r="Z118" s="41">
        <v>35000</v>
      </c>
      <c r="AA118" s="5" t="s">
        <v>1</v>
      </c>
      <c r="AB118" s="5">
        <f t="shared" si="12"/>
        <v>10</v>
      </c>
      <c r="AC118" s="5">
        <v>10</v>
      </c>
      <c r="AD118" s="5"/>
      <c r="AE118" s="5">
        <f t="shared" si="13"/>
        <v>10</v>
      </c>
      <c r="AF118" s="30"/>
      <c r="AG118" s="5" t="s">
        <v>1</v>
      </c>
      <c r="AH118" s="5">
        <f t="shared" si="14"/>
        <v>10</v>
      </c>
      <c r="AI118" s="5">
        <v>10</v>
      </c>
      <c r="AJ118" s="5"/>
      <c r="AK118" s="5">
        <f t="shared" si="15"/>
        <v>10</v>
      </c>
      <c r="AL118" s="5"/>
      <c r="AM118" s="45"/>
    </row>
    <row r="119" spans="1:39" x14ac:dyDescent="0.2">
      <c r="A119" s="5">
        <v>103</v>
      </c>
      <c r="B119" s="3" t="s">
        <v>96</v>
      </c>
      <c r="C119" s="18" t="s">
        <v>1</v>
      </c>
      <c r="D119" s="19">
        <v>1</v>
      </c>
      <c r="E119" s="19">
        <v>1</v>
      </c>
      <c r="F119" s="18"/>
      <c r="G119" s="19">
        <v>1</v>
      </c>
      <c r="H119" s="16"/>
      <c r="I119" s="18" t="s">
        <v>1</v>
      </c>
      <c r="J119" s="32">
        <v>1</v>
      </c>
      <c r="K119" s="5">
        <v>1</v>
      </c>
      <c r="L119" s="5"/>
      <c r="M119" s="5">
        <f t="shared" si="8"/>
        <v>1</v>
      </c>
      <c r="N119" s="30"/>
      <c r="O119" s="18" t="s">
        <v>1</v>
      </c>
      <c r="P119" s="5">
        <v>1</v>
      </c>
      <c r="Q119" s="18">
        <v>1</v>
      </c>
      <c r="R119" s="5"/>
      <c r="S119" s="5">
        <f t="shared" si="9"/>
        <v>1</v>
      </c>
      <c r="T119" s="41"/>
      <c r="U119" s="18" t="s">
        <v>1</v>
      </c>
      <c r="V119" s="5">
        <f t="shared" si="10"/>
        <v>1</v>
      </c>
      <c r="W119" s="5">
        <v>1</v>
      </c>
      <c r="X119" s="5"/>
      <c r="Y119" s="5">
        <f t="shared" si="11"/>
        <v>1</v>
      </c>
      <c r="Z119" s="41"/>
      <c r="AA119" s="18" t="s">
        <v>1</v>
      </c>
      <c r="AB119" s="5">
        <f t="shared" si="12"/>
        <v>1</v>
      </c>
      <c r="AC119" s="5">
        <v>1</v>
      </c>
      <c r="AD119" s="5"/>
      <c r="AE119" s="5">
        <f t="shared" si="13"/>
        <v>1</v>
      </c>
      <c r="AF119" s="30"/>
      <c r="AG119" s="18" t="s">
        <v>1</v>
      </c>
      <c r="AH119" s="5">
        <f t="shared" si="14"/>
        <v>1</v>
      </c>
      <c r="AI119" s="5">
        <v>1</v>
      </c>
      <c r="AJ119" s="5"/>
      <c r="AK119" s="5">
        <f t="shared" si="15"/>
        <v>1</v>
      </c>
      <c r="AL119" s="5"/>
      <c r="AM119" s="45"/>
    </row>
    <row r="120" spans="1:39" x14ac:dyDescent="0.2">
      <c r="A120" s="5">
        <v>104</v>
      </c>
      <c r="B120" s="3" t="s">
        <v>98</v>
      </c>
      <c r="C120" s="18" t="s">
        <v>25</v>
      </c>
      <c r="D120" s="21">
        <v>4</v>
      </c>
      <c r="E120" s="21">
        <v>4</v>
      </c>
      <c r="F120" s="18"/>
      <c r="G120" s="21">
        <v>4</v>
      </c>
      <c r="H120" s="16"/>
      <c r="I120" s="18" t="s">
        <v>1</v>
      </c>
      <c r="J120" s="36">
        <v>4</v>
      </c>
      <c r="K120" s="5">
        <v>4</v>
      </c>
      <c r="L120" s="5"/>
      <c r="M120" s="5">
        <f t="shared" si="8"/>
        <v>4</v>
      </c>
      <c r="N120" s="30"/>
      <c r="O120" s="18" t="s">
        <v>25</v>
      </c>
      <c r="P120" s="5">
        <v>4</v>
      </c>
      <c r="Q120" s="18">
        <v>4</v>
      </c>
      <c r="R120" s="5"/>
      <c r="S120" s="5">
        <f t="shared" si="9"/>
        <v>4</v>
      </c>
      <c r="T120" s="41"/>
      <c r="U120" s="18" t="s">
        <v>25</v>
      </c>
      <c r="V120" s="5">
        <f t="shared" si="10"/>
        <v>4</v>
      </c>
      <c r="W120" s="5">
        <v>4</v>
      </c>
      <c r="X120" s="5"/>
      <c r="Y120" s="5">
        <f t="shared" si="11"/>
        <v>4</v>
      </c>
      <c r="Z120" s="41"/>
      <c r="AA120" s="18" t="s">
        <v>25</v>
      </c>
      <c r="AB120" s="5">
        <f t="shared" si="12"/>
        <v>4</v>
      </c>
      <c r="AC120" s="5">
        <v>4</v>
      </c>
      <c r="AD120" s="5"/>
      <c r="AE120" s="5">
        <f t="shared" si="13"/>
        <v>4</v>
      </c>
      <c r="AF120" s="30"/>
      <c r="AG120" s="18" t="s">
        <v>25</v>
      </c>
      <c r="AH120" s="5">
        <f t="shared" si="14"/>
        <v>4</v>
      </c>
      <c r="AI120" s="5">
        <v>4</v>
      </c>
      <c r="AJ120" s="5"/>
      <c r="AK120" s="5">
        <f t="shared" si="15"/>
        <v>4</v>
      </c>
      <c r="AL120" s="5"/>
      <c r="AM120" s="45"/>
    </row>
    <row r="121" spans="1:39" x14ac:dyDescent="0.2">
      <c r="A121" s="5">
        <v>105</v>
      </c>
      <c r="B121" s="3" t="s">
        <v>99</v>
      </c>
      <c r="C121" s="18" t="s">
        <v>25</v>
      </c>
      <c r="D121" s="19">
        <v>1</v>
      </c>
      <c r="E121" s="19">
        <v>1</v>
      </c>
      <c r="F121" s="18"/>
      <c r="G121" s="19">
        <v>1</v>
      </c>
      <c r="H121" s="16"/>
      <c r="I121" s="18" t="s">
        <v>1</v>
      </c>
      <c r="J121" s="32">
        <v>1</v>
      </c>
      <c r="K121" s="5">
        <v>1</v>
      </c>
      <c r="L121" s="5"/>
      <c r="M121" s="5">
        <f t="shared" si="8"/>
        <v>1</v>
      </c>
      <c r="N121" s="30"/>
      <c r="O121" s="18" t="s">
        <v>25</v>
      </c>
      <c r="P121" s="5">
        <v>1</v>
      </c>
      <c r="Q121" s="18">
        <v>1</v>
      </c>
      <c r="R121" s="5"/>
      <c r="S121" s="5">
        <f t="shared" si="9"/>
        <v>1</v>
      </c>
      <c r="T121" s="41"/>
      <c r="U121" s="18" t="s">
        <v>25</v>
      </c>
      <c r="V121" s="5">
        <f t="shared" si="10"/>
        <v>1</v>
      </c>
      <c r="W121" s="5"/>
      <c r="X121" s="5"/>
      <c r="Y121" s="5">
        <f t="shared" si="11"/>
        <v>0</v>
      </c>
      <c r="Z121" s="41"/>
      <c r="AA121" s="18" t="s">
        <v>25</v>
      </c>
      <c r="AB121" s="5">
        <f t="shared" si="12"/>
        <v>0</v>
      </c>
      <c r="AC121" s="5"/>
      <c r="AD121" s="5"/>
      <c r="AE121" s="5">
        <f t="shared" si="13"/>
        <v>0</v>
      </c>
      <c r="AF121" s="30"/>
      <c r="AG121" s="18" t="s">
        <v>25</v>
      </c>
      <c r="AH121" s="5">
        <f t="shared" si="14"/>
        <v>0</v>
      </c>
      <c r="AI121" s="5"/>
      <c r="AJ121" s="5"/>
      <c r="AK121" s="5">
        <f t="shared" si="15"/>
        <v>0</v>
      </c>
      <c r="AL121" s="5"/>
      <c r="AM121" s="45"/>
    </row>
    <row r="122" spans="1:39" x14ac:dyDescent="0.2">
      <c r="A122" s="5">
        <v>106</v>
      </c>
      <c r="B122" s="6" t="s">
        <v>39</v>
      </c>
      <c r="C122" s="5" t="s">
        <v>1</v>
      </c>
      <c r="D122" s="5">
        <v>7</v>
      </c>
      <c r="E122" s="5">
        <v>5</v>
      </c>
      <c r="F122" s="18"/>
      <c r="G122" s="5">
        <v>5</v>
      </c>
      <c r="H122" s="13"/>
      <c r="I122" s="5" t="s">
        <v>1</v>
      </c>
      <c r="J122" s="5">
        <v>5</v>
      </c>
      <c r="K122" s="5">
        <v>1</v>
      </c>
      <c r="L122" s="5">
        <v>12</v>
      </c>
      <c r="M122" s="5">
        <f t="shared" si="8"/>
        <v>13</v>
      </c>
      <c r="N122" s="30">
        <v>72000</v>
      </c>
      <c r="O122" s="5" t="s">
        <v>1</v>
      </c>
      <c r="P122" s="5">
        <v>13</v>
      </c>
      <c r="Q122" s="18">
        <v>7</v>
      </c>
      <c r="R122" s="5">
        <v>12</v>
      </c>
      <c r="S122" s="5">
        <f t="shared" si="9"/>
        <v>19</v>
      </c>
      <c r="T122" s="41">
        <v>48000</v>
      </c>
      <c r="U122" s="5" t="s">
        <v>1</v>
      </c>
      <c r="V122" s="5">
        <f t="shared" si="10"/>
        <v>19</v>
      </c>
      <c r="W122" s="5"/>
      <c r="X122" s="5"/>
      <c r="Y122" s="5">
        <f t="shared" si="11"/>
        <v>0</v>
      </c>
      <c r="Z122" s="41"/>
      <c r="AA122" s="5" t="s">
        <v>1</v>
      </c>
      <c r="AB122" s="5">
        <f t="shared" si="12"/>
        <v>0</v>
      </c>
      <c r="AC122" s="5"/>
      <c r="AD122" s="5"/>
      <c r="AE122" s="5">
        <f t="shared" si="13"/>
        <v>0</v>
      </c>
      <c r="AF122" s="30"/>
      <c r="AG122" s="5" t="s">
        <v>1</v>
      </c>
      <c r="AH122" s="5">
        <f t="shared" si="14"/>
        <v>0</v>
      </c>
      <c r="AI122" s="5">
        <v>4</v>
      </c>
      <c r="AJ122" s="5">
        <v>2</v>
      </c>
      <c r="AK122" s="5">
        <f t="shared" si="15"/>
        <v>6</v>
      </c>
      <c r="AL122" s="5"/>
      <c r="AM122" s="45"/>
    </row>
    <row r="123" spans="1:39" x14ac:dyDescent="0.2">
      <c r="A123" s="5">
        <v>107</v>
      </c>
      <c r="B123" s="3" t="s">
        <v>94</v>
      </c>
      <c r="C123" s="18" t="s">
        <v>25</v>
      </c>
      <c r="D123" s="19">
        <v>35</v>
      </c>
      <c r="E123" s="19">
        <v>28</v>
      </c>
      <c r="F123" s="18"/>
      <c r="G123" s="19">
        <v>28</v>
      </c>
      <c r="H123" s="16"/>
      <c r="I123" s="18" t="s">
        <v>1</v>
      </c>
      <c r="J123" s="32">
        <v>28</v>
      </c>
      <c r="K123" s="5">
        <v>20</v>
      </c>
      <c r="L123" s="5"/>
      <c r="M123" s="5">
        <f t="shared" si="8"/>
        <v>20</v>
      </c>
      <c r="N123" s="30"/>
      <c r="O123" s="18" t="s">
        <v>25</v>
      </c>
      <c r="P123" s="5">
        <v>20</v>
      </c>
      <c r="Q123" s="18">
        <v>17</v>
      </c>
      <c r="R123" s="5"/>
      <c r="S123" s="5">
        <f t="shared" si="9"/>
        <v>17</v>
      </c>
      <c r="T123" s="41"/>
      <c r="U123" s="18" t="s">
        <v>25</v>
      </c>
      <c r="V123" s="5">
        <f t="shared" si="10"/>
        <v>17</v>
      </c>
      <c r="W123" s="5">
        <v>14</v>
      </c>
      <c r="X123" s="5"/>
      <c r="Y123" s="5">
        <f t="shared" si="11"/>
        <v>14</v>
      </c>
      <c r="Z123" s="41"/>
      <c r="AA123" s="18" t="s">
        <v>25</v>
      </c>
      <c r="AB123" s="5">
        <f t="shared" si="12"/>
        <v>14</v>
      </c>
      <c r="AC123" s="5">
        <v>9</v>
      </c>
      <c r="AD123" s="5"/>
      <c r="AE123" s="5">
        <f t="shared" si="13"/>
        <v>9</v>
      </c>
      <c r="AF123" s="30"/>
      <c r="AG123" s="18" t="s">
        <v>25</v>
      </c>
      <c r="AH123" s="5">
        <f t="shared" si="14"/>
        <v>9</v>
      </c>
      <c r="AI123" s="5">
        <v>3</v>
      </c>
      <c r="AJ123" s="5"/>
      <c r="AK123" s="5">
        <f t="shared" si="15"/>
        <v>3</v>
      </c>
      <c r="AL123" s="5"/>
      <c r="AM123" s="45"/>
    </row>
    <row r="124" spans="1:39" x14ac:dyDescent="0.2">
      <c r="A124" s="5">
        <v>108</v>
      </c>
      <c r="B124" s="3" t="s">
        <v>97</v>
      </c>
      <c r="C124" s="18" t="s">
        <v>1</v>
      </c>
      <c r="D124" s="19">
        <v>10</v>
      </c>
      <c r="E124" s="19">
        <v>9</v>
      </c>
      <c r="F124" s="18"/>
      <c r="G124" s="19">
        <v>9</v>
      </c>
      <c r="H124" s="16"/>
      <c r="I124" s="18" t="s">
        <v>1</v>
      </c>
      <c r="J124" s="32">
        <v>9</v>
      </c>
      <c r="K124" s="5">
        <v>8</v>
      </c>
      <c r="L124" s="5"/>
      <c r="M124" s="5">
        <f t="shared" si="8"/>
        <v>8</v>
      </c>
      <c r="N124" s="30"/>
      <c r="O124" s="18" t="s">
        <v>1</v>
      </c>
      <c r="P124" s="5">
        <v>8</v>
      </c>
      <c r="Q124" s="18">
        <v>8</v>
      </c>
      <c r="R124" s="5"/>
      <c r="S124" s="5">
        <f t="shared" si="9"/>
        <v>8</v>
      </c>
      <c r="T124" s="41"/>
      <c r="U124" s="18" t="s">
        <v>1</v>
      </c>
      <c r="V124" s="5">
        <f t="shared" si="10"/>
        <v>8</v>
      </c>
      <c r="W124" s="5">
        <v>8</v>
      </c>
      <c r="X124" s="5"/>
      <c r="Y124" s="5">
        <f t="shared" si="11"/>
        <v>8</v>
      </c>
      <c r="Z124" s="41"/>
      <c r="AA124" s="18" t="s">
        <v>1</v>
      </c>
      <c r="AB124" s="5">
        <f t="shared" si="12"/>
        <v>8</v>
      </c>
      <c r="AC124" s="5">
        <v>8</v>
      </c>
      <c r="AD124" s="5"/>
      <c r="AE124" s="5">
        <f t="shared" si="13"/>
        <v>8</v>
      </c>
      <c r="AF124" s="30"/>
      <c r="AG124" s="18" t="s">
        <v>1</v>
      </c>
      <c r="AH124" s="5">
        <f t="shared" si="14"/>
        <v>8</v>
      </c>
      <c r="AI124" s="5">
        <v>8</v>
      </c>
      <c r="AJ124" s="5"/>
      <c r="AK124" s="5">
        <f t="shared" si="15"/>
        <v>8</v>
      </c>
      <c r="AL124" s="5"/>
      <c r="AM124" s="45"/>
    </row>
    <row r="125" spans="1:39" x14ac:dyDescent="0.2">
      <c r="A125" s="5">
        <v>109</v>
      </c>
      <c r="B125" s="3" t="s">
        <v>95</v>
      </c>
      <c r="C125" s="18" t="s">
        <v>1</v>
      </c>
      <c r="D125" s="19">
        <v>3</v>
      </c>
      <c r="E125" s="19">
        <v>3</v>
      </c>
      <c r="F125" s="18"/>
      <c r="G125" s="19">
        <v>3</v>
      </c>
      <c r="H125" s="16"/>
      <c r="I125" s="18" t="s">
        <v>1</v>
      </c>
      <c r="J125" s="32">
        <v>3</v>
      </c>
      <c r="K125" s="5">
        <v>3</v>
      </c>
      <c r="L125" s="5"/>
      <c r="M125" s="5">
        <f t="shared" si="8"/>
        <v>3</v>
      </c>
      <c r="N125" s="30"/>
      <c r="O125" s="18" t="s">
        <v>1</v>
      </c>
      <c r="P125" s="5">
        <v>3</v>
      </c>
      <c r="Q125" s="18">
        <v>3</v>
      </c>
      <c r="R125" s="5"/>
      <c r="S125" s="5">
        <f t="shared" si="9"/>
        <v>3</v>
      </c>
      <c r="T125" s="41"/>
      <c r="U125" s="18" t="s">
        <v>1</v>
      </c>
      <c r="V125" s="5">
        <f t="shared" si="10"/>
        <v>3</v>
      </c>
      <c r="W125" s="5">
        <v>3</v>
      </c>
      <c r="X125" s="5"/>
      <c r="Y125" s="5">
        <f t="shared" si="11"/>
        <v>3</v>
      </c>
      <c r="Z125" s="41"/>
      <c r="AA125" s="18" t="s">
        <v>1</v>
      </c>
      <c r="AB125" s="5">
        <f t="shared" si="12"/>
        <v>3</v>
      </c>
      <c r="AC125" s="5">
        <v>3</v>
      </c>
      <c r="AD125" s="5"/>
      <c r="AE125" s="5">
        <f t="shared" si="13"/>
        <v>3</v>
      </c>
      <c r="AF125" s="30"/>
      <c r="AG125" s="18" t="s">
        <v>1</v>
      </c>
      <c r="AH125" s="5">
        <f t="shared" si="14"/>
        <v>3</v>
      </c>
      <c r="AI125" s="5">
        <v>3</v>
      </c>
      <c r="AJ125" s="5"/>
      <c r="AK125" s="5">
        <f t="shared" si="15"/>
        <v>3</v>
      </c>
      <c r="AL125" s="5"/>
      <c r="AM125" s="45"/>
    </row>
    <row r="126" spans="1:39" x14ac:dyDescent="0.2">
      <c r="A126" s="5">
        <v>110</v>
      </c>
      <c r="B126" s="3" t="s">
        <v>126</v>
      </c>
      <c r="C126" s="18" t="s">
        <v>1</v>
      </c>
      <c r="D126" s="19">
        <v>1</v>
      </c>
      <c r="E126" s="19">
        <v>1</v>
      </c>
      <c r="F126" s="18"/>
      <c r="G126" s="19">
        <v>1</v>
      </c>
      <c r="H126" s="16"/>
      <c r="I126" s="18" t="s">
        <v>1</v>
      </c>
      <c r="J126" s="32">
        <v>1</v>
      </c>
      <c r="K126" s="5">
        <v>0</v>
      </c>
      <c r="L126" s="5">
        <v>1</v>
      </c>
      <c r="M126" s="5">
        <f t="shared" ref="M126:M127" si="16">L126+K126</f>
        <v>1</v>
      </c>
      <c r="N126" s="30">
        <v>48000</v>
      </c>
      <c r="O126" s="18" t="s">
        <v>1</v>
      </c>
      <c r="P126" s="5">
        <v>1</v>
      </c>
      <c r="Q126" s="18">
        <v>1</v>
      </c>
      <c r="R126" s="5"/>
      <c r="S126" s="5">
        <f t="shared" ref="S126:S164" si="17">R126+Q126</f>
        <v>1</v>
      </c>
      <c r="T126" s="41"/>
      <c r="U126" s="18" t="s">
        <v>1</v>
      </c>
      <c r="V126" s="5">
        <f t="shared" ref="V126:V164" si="18">S126</f>
        <v>1</v>
      </c>
      <c r="W126" s="5">
        <v>1</v>
      </c>
      <c r="X126" s="5"/>
      <c r="Y126" s="5">
        <f t="shared" ref="Y126:Y169" si="19">X126+W126</f>
        <v>1</v>
      </c>
      <c r="Z126" s="41"/>
      <c r="AA126" s="18" t="s">
        <v>1</v>
      </c>
      <c r="AB126" s="5">
        <f t="shared" ref="AB126:AB178" si="20">Y126</f>
        <v>1</v>
      </c>
      <c r="AC126" s="5">
        <v>1</v>
      </c>
      <c r="AD126" s="5"/>
      <c r="AE126" s="5">
        <f t="shared" ref="AE126:AE178" si="21">AD126+AC126</f>
        <v>1</v>
      </c>
      <c r="AF126" s="30"/>
      <c r="AG126" s="18" t="s">
        <v>1</v>
      </c>
      <c r="AH126" s="5">
        <f t="shared" ref="AH126:AH178" si="22">AE126</f>
        <v>1</v>
      </c>
      <c r="AI126" s="5">
        <v>1</v>
      </c>
      <c r="AJ126" s="5"/>
      <c r="AK126" s="5">
        <f t="shared" ref="AK126:AK179" si="23">AJ126+AI126</f>
        <v>1</v>
      </c>
      <c r="AL126" s="5"/>
      <c r="AM126" s="45"/>
    </row>
    <row r="127" spans="1:39" x14ac:dyDescent="0.2">
      <c r="A127" s="5">
        <v>111</v>
      </c>
      <c r="B127" s="3" t="s">
        <v>102</v>
      </c>
      <c r="C127" s="18" t="s">
        <v>25</v>
      </c>
      <c r="D127" s="19">
        <v>1</v>
      </c>
      <c r="E127" s="19">
        <v>1</v>
      </c>
      <c r="F127" s="18"/>
      <c r="G127" s="19">
        <v>1</v>
      </c>
      <c r="H127" s="16"/>
      <c r="I127" s="18" t="s">
        <v>1</v>
      </c>
      <c r="J127" s="32">
        <v>1</v>
      </c>
      <c r="K127" s="5">
        <v>1</v>
      </c>
      <c r="L127" s="5"/>
      <c r="M127" s="5">
        <f t="shared" si="16"/>
        <v>1</v>
      </c>
      <c r="N127" s="30"/>
      <c r="O127" s="18" t="s">
        <v>25</v>
      </c>
      <c r="P127" s="5">
        <v>1</v>
      </c>
      <c r="Q127" s="18">
        <v>1</v>
      </c>
      <c r="R127" s="5"/>
      <c r="S127" s="5">
        <f t="shared" si="17"/>
        <v>1</v>
      </c>
      <c r="T127" s="41"/>
      <c r="U127" s="18" t="s">
        <v>25</v>
      </c>
      <c r="V127" s="5">
        <f t="shared" si="18"/>
        <v>1</v>
      </c>
      <c r="W127" s="5">
        <v>1</v>
      </c>
      <c r="X127" s="5"/>
      <c r="Y127" s="5">
        <f t="shared" si="19"/>
        <v>1</v>
      </c>
      <c r="Z127" s="41"/>
      <c r="AA127" s="18" t="s">
        <v>25</v>
      </c>
      <c r="AB127" s="5">
        <f t="shared" si="20"/>
        <v>1</v>
      </c>
      <c r="AC127" s="5">
        <v>1</v>
      </c>
      <c r="AD127" s="5"/>
      <c r="AE127" s="5">
        <f t="shared" si="21"/>
        <v>1</v>
      </c>
      <c r="AF127" s="30"/>
      <c r="AG127" s="18" t="s">
        <v>25</v>
      </c>
      <c r="AH127" s="5">
        <f t="shared" si="22"/>
        <v>1</v>
      </c>
      <c r="AI127" s="5">
        <v>1</v>
      </c>
      <c r="AJ127" s="5"/>
      <c r="AK127" s="5">
        <f t="shared" si="23"/>
        <v>1</v>
      </c>
      <c r="AL127" s="5"/>
      <c r="AM127" s="45"/>
    </row>
    <row r="128" spans="1:39" x14ac:dyDescent="0.2">
      <c r="A128" s="5">
        <v>112</v>
      </c>
      <c r="B128" s="9" t="s">
        <v>197</v>
      </c>
      <c r="C128" s="18" t="s">
        <v>25</v>
      </c>
      <c r="D128" s="19">
        <v>8</v>
      </c>
      <c r="E128" s="19">
        <v>2</v>
      </c>
      <c r="F128" s="22">
        <v>15</v>
      </c>
      <c r="G128" s="22">
        <v>17</v>
      </c>
      <c r="H128" s="16">
        <v>165000</v>
      </c>
      <c r="I128" s="18" t="s">
        <v>25</v>
      </c>
      <c r="J128" s="26">
        <v>17</v>
      </c>
      <c r="K128" s="31">
        <v>4</v>
      </c>
      <c r="L128" s="31">
        <v>15</v>
      </c>
      <c r="M128" s="31">
        <v>17</v>
      </c>
      <c r="N128" s="29">
        <v>225000</v>
      </c>
      <c r="O128" s="18" t="s">
        <v>25</v>
      </c>
      <c r="P128" s="31">
        <v>17</v>
      </c>
      <c r="Q128" s="28">
        <v>13</v>
      </c>
      <c r="R128" s="31"/>
      <c r="S128" s="5">
        <f t="shared" si="17"/>
        <v>13</v>
      </c>
      <c r="T128" s="42"/>
      <c r="U128" s="18" t="s">
        <v>25</v>
      </c>
      <c r="V128" s="5">
        <f t="shared" si="18"/>
        <v>13</v>
      </c>
      <c r="W128" s="31">
        <v>10</v>
      </c>
      <c r="X128" s="43"/>
      <c r="Y128" s="5">
        <f t="shared" si="19"/>
        <v>10</v>
      </c>
      <c r="Z128" s="41"/>
      <c r="AA128" s="18" t="s">
        <v>25</v>
      </c>
      <c r="AB128" s="5">
        <f t="shared" si="20"/>
        <v>10</v>
      </c>
      <c r="AC128" s="5">
        <v>10</v>
      </c>
      <c r="AD128" s="5"/>
      <c r="AE128" s="5">
        <f t="shared" si="21"/>
        <v>10</v>
      </c>
      <c r="AF128" s="30"/>
      <c r="AG128" s="18" t="s">
        <v>25</v>
      </c>
      <c r="AH128" s="5">
        <f t="shared" si="22"/>
        <v>10</v>
      </c>
      <c r="AI128" s="5">
        <v>8</v>
      </c>
      <c r="AJ128" s="5"/>
      <c r="AK128" s="5">
        <f t="shared" si="23"/>
        <v>8</v>
      </c>
      <c r="AL128" s="5"/>
      <c r="AM128" s="45"/>
    </row>
    <row r="129" spans="1:39" x14ac:dyDescent="0.2">
      <c r="A129" s="5">
        <v>113</v>
      </c>
      <c r="B129" s="9" t="s">
        <v>198</v>
      </c>
      <c r="C129" s="18" t="s">
        <v>25</v>
      </c>
      <c r="D129" s="19">
        <v>5</v>
      </c>
      <c r="E129" s="19"/>
      <c r="F129" s="18"/>
      <c r="G129" s="19">
        <v>5</v>
      </c>
      <c r="H129" s="16"/>
      <c r="I129" s="18" t="s">
        <v>25</v>
      </c>
      <c r="J129" s="32">
        <v>5</v>
      </c>
      <c r="K129" s="31">
        <v>3</v>
      </c>
      <c r="L129" s="31">
        <v>5</v>
      </c>
      <c r="M129" s="31">
        <v>7</v>
      </c>
      <c r="N129" s="29">
        <v>75000</v>
      </c>
      <c r="O129" s="18" t="s">
        <v>25</v>
      </c>
      <c r="P129" s="31">
        <v>7</v>
      </c>
      <c r="Q129" s="28">
        <v>7</v>
      </c>
      <c r="R129" s="31"/>
      <c r="S129" s="5">
        <f t="shared" si="17"/>
        <v>7</v>
      </c>
      <c r="T129" s="42"/>
      <c r="U129" s="18" t="s">
        <v>25</v>
      </c>
      <c r="V129" s="5">
        <f t="shared" si="18"/>
        <v>7</v>
      </c>
      <c r="W129" s="31">
        <v>7</v>
      </c>
      <c r="X129" s="43"/>
      <c r="Y129" s="5">
        <f t="shared" si="19"/>
        <v>7</v>
      </c>
      <c r="Z129" s="41"/>
      <c r="AA129" s="18" t="s">
        <v>25</v>
      </c>
      <c r="AB129" s="5">
        <f t="shared" si="20"/>
        <v>7</v>
      </c>
      <c r="AC129" s="5">
        <v>7</v>
      </c>
      <c r="AD129" s="5"/>
      <c r="AE129" s="5">
        <f t="shared" si="21"/>
        <v>7</v>
      </c>
      <c r="AF129" s="30"/>
      <c r="AG129" s="18" t="s">
        <v>25</v>
      </c>
      <c r="AH129" s="5">
        <f t="shared" si="22"/>
        <v>7</v>
      </c>
      <c r="AI129" s="5">
        <v>7</v>
      </c>
      <c r="AJ129" s="5"/>
      <c r="AK129" s="5">
        <f t="shared" si="23"/>
        <v>7</v>
      </c>
      <c r="AL129" s="5"/>
      <c r="AM129" s="45"/>
    </row>
    <row r="130" spans="1:39" x14ac:dyDescent="0.2">
      <c r="A130" s="5">
        <v>114</v>
      </c>
      <c r="B130" s="9" t="s">
        <v>199</v>
      </c>
      <c r="C130" s="18" t="s">
        <v>25</v>
      </c>
      <c r="D130" s="19">
        <v>5</v>
      </c>
      <c r="E130" s="19"/>
      <c r="F130" s="18"/>
      <c r="G130" s="19">
        <v>5</v>
      </c>
      <c r="H130" s="16"/>
      <c r="I130" s="18" t="s">
        <v>25</v>
      </c>
      <c r="J130" s="32">
        <v>5</v>
      </c>
      <c r="K130" s="31">
        <v>2</v>
      </c>
      <c r="L130" s="31">
        <v>5</v>
      </c>
      <c r="M130" s="31">
        <v>2</v>
      </c>
      <c r="N130" s="29">
        <v>75000</v>
      </c>
      <c r="O130" s="18" t="s">
        <v>25</v>
      </c>
      <c r="P130" s="31">
        <v>2</v>
      </c>
      <c r="Q130" s="28">
        <v>2</v>
      </c>
      <c r="R130" s="31"/>
      <c r="S130" s="5">
        <f t="shared" si="17"/>
        <v>2</v>
      </c>
      <c r="T130" s="42"/>
      <c r="U130" s="18" t="s">
        <v>25</v>
      </c>
      <c r="V130" s="5">
        <f t="shared" si="18"/>
        <v>2</v>
      </c>
      <c r="W130" s="31">
        <v>2</v>
      </c>
      <c r="X130" s="43"/>
      <c r="Y130" s="5">
        <f t="shared" si="19"/>
        <v>2</v>
      </c>
      <c r="Z130" s="41"/>
      <c r="AA130" s="18" t="s">
        <v>25</v>
      </c>
      <c r="AB130" s="5">
        <f t="shared" si="20"/>
        <v>2</v>
      </c>
      <c r="AC130" s="5">
        <v>2</v>
      </c>
      <c r="AD130" s="5"/>
      <c r="AE130" s="5">
        <f t="shared" si="21"/>
        <v>2</v>
      </c>
      <c r="AF130" s="30"/>
      <c r="AG130" s="18" t="s">
        <v>25</v>
      </c>
      <c r="AH130" s="5">
        <f t="shared" si="22"/>
        <v>2</v>
      </c>
      <c r="AI130" s="5">
        <v>2</v>
      </c>
      <c r="AJ130" s="5"/>
      <c r="AK130" s="5">
        <f t="shared" si="23"/>
        <v>2</v>
      </c>
      <c r="AL130" s="5"/>
      <c r="AM130" s="45"/>
    </row>
    <row r="131" spans="1:39" x14ac:dyDescent="0.2">
      <c r="A131" s="5">
        <v>115</v>
      </c>
      <c r="B131" s="9" t="s">
        <v>200</v>
      </c>
      <c r="C131" s="18" t="s">
        <v>25</v>
      </c>
      <c r="D131" s="19">
        <v>7</v>
      </c>
      <c r="E131" s="19"/>
      <c r="F131" s="18"/>
      <c r="G131" s="19">
        <v>7</v>
      </c>
      <c r="H131" s="16"/>
      <c r="I131" s="18" t="s">
        <v>25</v>
      </c>
      <c r="J131" s="32">
        <v>7</v>
      </c>
      <c r="K131" s="31">
        <v>2</v>
      </c>
      <c r="L131" s="31">
        <v>5</v>
      </c>
      <c r="M131" s="31">
        <v>2</v>
      </c>
      <c r="N131" s="29">
        <v>75000</v>
      </c>
      <c r="O131" s="18" t="s">
        <v>25</v>
      </c>
      <c r="P131" s="31">
        <v>2</v>
      </c>
      <c r="Q131" s="28">
        <v>2</v>
      </c>
      <c r="R131" s="31"/>
      <c r="S131" s="5">
        <f t="shared" si="17"/>
        <v>2</v>
      </c>
      <c r="T131" s="42"/>
      <c r="U131" s="18" t="s">
        <v>25</v>
      </c>
      <c r="V131" s="5">
        <f t="shared" si="18"/>
        <v>2</v>
      </c>
      <c r="W131" s="31">
        <v>2</v>
      </c>
      <c r="X131" s="43"/>
      <c r="Y131" s="5">
        <f t="shared" si="19"/>
        <v>2</v>
      </c>
      <c r="Z131" s="41"/>
      <c r="AA131" s="18" t="s">
        <v>25</v>
      </c>
      <c r="AB131" s="5">
        <f t="shared" si="20"/>
        <v>2</v>
      </c>
      <c r="AC131" s="5">
        <v>2</v>
      </c>
      <c r="AD131" s="5"/>
      <c r="AE131" s="5">
        <f t="shared" si="21"/>
        <v>2</v>
      </c>
      <c r="AF131" s="30"/>
      <c r="AG131" s="18" t="s">
        <v>25</v>
      </c>
      <c r="AH131" s="5">
        <f t="shared" si="22"/>
        <v>2</v>
      </c>
      <c r="AI131" s="5">
        <v>2</v>
      </c>
      <c r="AJ131" s="5"/>
      <c r="AK131" s="5">
        <f t="shared" si="23"/>
        <v>2</v>
      </c>
      <c r="AL131" s="5"/>
      <c r="AM131" s="45"/>
    </row>
    <row r="132" spans="1:39" x14ac:dyDescent="0.2">
      <c r="A132" s="5">
        <v>116</v>
      </c>
      <c r="B132" s="9" t="s">
        <v>201</v>
      </c>
      <c r="C132" s="18" t="s">
        <v>25</v>
      </c>
      <c r="D132" s="18">
        <v>7</v>
      </c>
      <c r="E132" s="18"/>
      <c r="F132" s="18"/>
      <c r="G132" s="18">
        <v>7</v>
      </c>
      <c r="H132" s="13"/>
      <c r="I132" s="18" t="s">
        <v>25</v>
      </c>
      <c r="J132" s="5">
        <v>7</v>
      </c>
      <c r="K132" s="5">
        <v>3</v>
      </c>
      <c r="L132" s="5">
        <v>5</v>
      </c>
      <c r="M132" s="5">
        <v>3</v>
      </c>
      <c r="N132" s="29">
        <v>75000</v>
      </c>
      <c r="O132" s="18" t="s">
        <v>25</v>
      </c>
      <c r="P132" s="5">
        <v>3</v>
      </c>
      <c r="Q132" s="18">
        <v>3</v>
      </c>
      <c r="R132" s="5"/>
      <c r="S132" s="5">
        <f t="shared" si="17"/>
        <v>3</v>
      </c>
      <c r="T132" s="41"/>
      <c r="U132" s="18" t="s">
        <v>25</v>
      </c>
      <c r="V132" s="5">
        <f t="shared" si="18"/>
        <v>3</v>
      </c>
      <c r="W132" s="5">
        <v>3</v>
      </c>
      <c r="X132" s="5"/>
      <c r="Y132" s="5">
        <f t="shared" si="19"/>
        <v>3</v>
      </c>
      <c r="Z132" s="41"/>
      <c r="AA132" s="18" t="s">
        <v>25</v>
      </c>
      <c r="AB132" s="5">
        <f t="shared" si="20"/>
        <v>3</v>
      </c>
      <c r="AC132" s="5">
        <v>3</v>
      </c>
      <c r="AD132" s="5"/>
      <c r="AE132" s="5">
        <f t="shared" si="21"/>
        <v>3</v>
      </c>
      <c r="AF132" s="30"/>
      <c r="AG132" s="18" t="s">
        <v>25</v>
      </c>
      <c r="AH132" s="5">
        <f t="shared" si="22"/>
        <v>3</v>
      </c>
      <c r="AI132" s="5">
        <v>3</v>
      </c>
      <c r="AJ132" s="5"/>
      <c r="AK132" s="5">
        <f t="shared" si="23"/>
        <v>3</v>
      </c>
      <c r="AL132" s="5"/>
      <c r="AM132" s="45"/>
    </row>
    <row r="133" spans="1:39" x14ac:dyDescent="0.2">
      <c r="A133" s="5">
        <v>117</v>
      </c>
      <c r="B133" s="9" t="s">
        <v>202</v>
      </c>
      <c r="C133" s="18" t="s">
        <v>25</v>
      </c>
      <c r="D133" s="18"/>
      <c r="E133" s="18"/>
      <c r="F133" s="18"/>
      <c r="G133" s="18"/>
      <c r="H133" s="13"/>
      <c r="I133" s="18" t="s">
        <v>25</v>
      </c>
      <c r="J133" s="5">
        <v>0</v>
      </c>
      <c r="K133" s="5">
        <v>0</v>
      </c>
      <c r="L133" s="5">
        <v>5</v>
      </c>
      <c r="M133" s="5">
        <v>5</v>
      </c>
      <c r="N133" s="29">
        <v>75000</v>
      </c>
      <c r="O133" s="18" t="s">
        <v>25</v>
      </c>
      <c r="P133" s="5">
        <v>5</v>
      </c>
      <c r="Q133" s="18">
        <v>5</v>
      </c>
      <c r="R133" s="5"/>
      <c r="S133" s="5">
        <f t="shared" si="17"/>
        <v>5</v>
      </c>
      <c r="T133" s="41"/>
      <c r="U133" s="18" t="s">
        <v>25</v>
      </c>
      <c r="V133" s="5">
        <f t="shared" si="18"/>
        <v>5</v>
      </c>
      <c r="W133" s="5">
        <v>5</v>
      </c>
      <c r="X133" s="5"/>
      <c r="Y133" s="5">
        <f t="shared" si="19"/>
        <v>5</v>
      </c>
      <c r="Z133" s="41"/>
      <c r="AA133" s="18" t="s">
        <v>25</v>
      </c>
      <c r="AB133" s="5">
        <f t="shared" si="20"/>
        <v>5</v>
      </c>
      <c r="AC133" s="5">
        <v>5</v>
      </c>
      <c r="AD133" s="5"/>
      <c r="AE133" s="5">
        <f t="shared" si="21"/>
        <v>5</v>
      </c>
      <c r="AF133" s="30"/>
      <c r="AG133" s="18" t="s">
        <v>25</v>
      </c>
      <c r="AH133" s="5">
        <f t="shared" si="22"/>
        <v>5</v>
      </c>
      <c r="AI133" s="5">
        <v>5</v>
      </c>
      <c r="AJ133" s="5"/>
      <c r="AK133" s="5">
        <f t="shared" si="23"/>
        <v>5</v>
      </c>
      <c r="AL133" s="5"/>
      <c r="AM133" s="45"/>
    </row>
    <row r="134" spans="1:39" x14ac:dyDescent="0.2">
      <c r="A134" s="5">
        <v>118</v>
      </c>
      <c r="B134" s="9" t="s">
        <v>215</v>
      </c>
      <c r="C134" s="18" t="s">
        <v>25</v>
      </c>
      <c r="D134" s="18"/>
      <c r="E134" s="18"/>
      <c r="F134" s="18"/>
      <c r="G134" s="18"/>
      <c r="H134" s="13"/>
      <c r="I134" s="18" t="s">
        <v>25</v>
      </c>
      <c r="J134" s="5">
        <v>0</v>
      </c>
      <c r="K134" s="5">
        <v>0</v>
      </c>
      <c r="L134" s="5">
        <v>5</v>
      </c>
      <c r="M134" s="5">
        <v>5</v>
      </c>
      <c r="N134" s="29">
        <v>75000</v>
      </c>
      <c r="O134" s="18" t="s">
        <v>25</v>
      </c>
      <c r="P134" s="5">
        <v>5</v>
      </c>
      <c r="Q134" s="18">
        <v>5</v>
      </c>
      <c r="R134" s="5"/>
      <c r="S134" s="5">
        <f t="shared" si="17"/>
        <v>5</v>
      </c>
      <c r="T134" s="41"/>
      <c r="U134" s="18" t="s">
        <v>25</v>
      </c>
      <c r="V134" s="5">
        <f t="shared" si="18"/>
        <v>5</v>
      </c>
      <c r="W134" s="5">
        <v>5</v>
      </c>
      <c r="X134" s="5"/>
      <c r="Y134" s="5">
        <f t="shared" si="19"/>
        <v>5</v>
      </c>
      <c r="Z134" s="41"/>
      <c r="AA134" s="18" t="s">
        <v>25</v>
      </c>
      <c r="AB134" s="5">
        <f t="shared" si="20"/>
        <v>5</v>
      </c>
      <c r="AC134" s="5">
        <v>5</v>
      </c>
      <c r="AD134" s="5"/>
      <c r="AE134" s="5">
        <f t="shared" si="21"/>
        <v>5</v>
      </c>
      <c r="AF134" s="30"/>
      <c r="AG134" s="18" t="s">
        <v>25</v>
      </c>
      <c r="AH134" s="5">
        <f t="shared" si="22"/>
        <v>5</v>
      </c>
      <c r="AI134" s="5">
        <v>5</v>
      </c>
      <c r="AJ134" s="5"/>
      <c r="AK134" s="5">
        <f t="shared" si="23"/>
        <v>5</v>
      </c>
      <c r="AL134" s="5"/>
      <c r="AM134" s="45"/>
    </row>
    <row r="135" spans="1:39" x14ac:dyDescent="0.2">
      <c r="A135" s="5">
        <v>119</v>
      </c>
      <c r="B135" s="9" t="s">
        <v>203</v>
      </c>
      <c r="C135" s="18" t="s">
        <v>25</v>
      </c>
      <c r="D135" s="19">
        <v>9</v>
      </c>
      <c r="E135" s="19"/>
      <c r="F135" s="22"/>
      <c r="G135" s="19">
        <v>9</v>
      </c>
      <c r="H135" s="16"/>
      <c r="I135" s="18" t="s">
        <v>25</v>
      </c>
      <c r="J135" s="32">
        <v>9</v>
      </c>
      <c r="K135" s="31">
        <v>2</v>
      </c>
      <c r="L135" s="31">
        <v>5</v>
      </c>
      <c r="M135" s="31">
        <v>7</v>
      </c>
      <c r="N135" s="29">
        <v>75000</v>
      </c>
      <c r="O135" s="18" t="s">
        <v>25</v>
      </c>
      <c r="P135" s="31">
        <v>7</v>
      </c>
      <c r="Q135" s="28">
        <v>5</v>
      </c>
      <c r="R135" s="31"/>
      <c r="S135" s="5">
        <f t="shared" si="17"/>
        <v>5</v>
      </c>
      <c r="T135" s="42"/>
      <c r="U135" s="18" t="s">
        <v>25</v>
      </c>
      <c r="V135" s="5">
        <f t="shared" si="18"/>
        <v>5</v>
      </c>
      <c r="W135" s="31">
        <v>5</v>
      </c>
      <c r="X135" s="43"/>
      <c r="Y135" s="5">
        <f t="shared" si="19"/>
        <v>5</v>
      </c>
      <c r="Z135" s="41"/>
      <c r="AA135" s="18" t="s">
        <v>25</v>
      </c>
      <c r="AB135" s="5">
        <f t="shared" si="20"/>
        <v>5</v>
      </c>
      <c r="AC135" s="5">
        <v>5</v>
      </c>
      <c r="AD135" s="5"/>
      <c r="AE135" s="5">
        <f t="shared" si="21"/>
        <v>5</v>
      </c>
      <c r="AF135" s="30"/>
      <c r="AG135" s="18" t="s">
        <v>25</v>
      </c>
      <c r="AH135" s="5">
        <f t="shared" si="22"/>
        <v>5</v>
      </c>
      <c r="AI135" s="5">
        <v>5</v>
      </c>
      <c r="AJ135" s="5"/>
      <c r="AK135" s="5">
        <f t="shared" si="23"/>
        <v>5</v>
      </c>
      <c r="AL135" s="5"/>
      <c r="AM135" s="45"/>
    </row>
    <row r="136" spans="1:39" x14ac:dyDescent="0.2">
      <c r="A136" s="5">
        <v>120</v>
      </c>
      <c r="B136" s="9" t="s">
        <v>204</v>
      </c>
      <c r="C136" s="18" t="s">
        <v>25</v>
      </c>
      <c r="D136" s="19">
        <v>15</v>
      </c>
      <c r="E136" s="19"/>
      <c r="F136" s="18"/>
      <c r="G136" s="19">
        <v>15</v>
      </c>
      <c r="H136" s="16"/>
      <c r="I136" s="18" t="s">
        <v>25</v>
      </c>
      <c r="J136" s="32">
        <v>15</v>
      </c>
      <c r="K136" s="31">
        <v>5</v>
      </c>
      <c r="L136" s="31">
        <v>5</v>
      </c>
      <c r="M136" s="31">
        <v>10</v>
      </c>
      <c r="N136" s="29">
        <v>75000</v>
      </c>
      <c r="O136" s="18" t="s">
        <v>25</v>
      </c>
      <c r="P136" s="31">
        <v>10</v>
      </c>
      <c r="Q136" s="28">
        <v>10</v>
      </c>
      <c r="R136" s="31"/>
      <c r="S136" s="5">
        <f t="shared" si="17"/>
        <v>10</v>
      </c>
      <c r="T136" s="42"/>
      <c r="U136" s="18" t="s">
        <v>25</v>
      </c>
      <c r="V136" s="5">
        <f t="shared" si="18"/>
        <v>10</v>
      </c>
      <c r="W136" s="31">
        <v>8</v>
      </c>
      <c r="X136" s="43"/>
      <c r="Y136" s="5">
        <f t="shared" si="19"/>
        <v>8</v>
      </c>
      <c r="Z136" s="41"/>
      <c r="AA136" s="18" t="s">
        <v>25</v>
      </c>
      <c r="AB136" s="5">
        <f t="shared" si="20"/>
        <v>8</v>
      </c>
      <c r="AC136" s="5">
        <v>8</v>
      </c>
      <c r="AD136" s="5"/>
      <c r="AE136" s="5">
        <f t="shared" si="21"/>
        <v>8</v>
      </c>
      <c r="AF136" s="30"/>
      <c r="AG136" s="18" t="s">
        <v>25</v>
      </c>
      <c r="AH136" s="5">
        <f t="shared" si="22"/>
        <v>8</v>
      </c>
      <c r="AI136" s="5">
        <v>8</v>
      </c>
      <c r="AJ136" s="5"/>
      <c r="AK136" s="5">
        <f t="shared" si="23"/>
        <v>8</v>
      </c>
      <c r="AL136" s="5"/>
      <c r="AM136" s="45"/>
    </row>
    <row r="137" spans="1:39" x14ac:dyDescent="0.2">
      <c r="A137" s="5">
        <v>121</v>
      </c>
      <c r="B137" s="9" t="s">
        <v>205</v>
      </c>
      <c r="C137" s="18" t="s">
        <v>25</v>
      </c>
      <c r="D137" s="19">
        <v>5</v>
      </c>
      <c r="E137" s="19"/>
      <c r="F137" s="22"/>
      <c r="G137" s="19">
        <v>5</v>
      </c>
      <c r="H137" s="16"/>
      <c r="I137" s="18" t="s">
        <v>25</v>
      </c>
      <c r="J137" s="32">
        <v>5</v>
      </c>
      <c r="K137" s="31">
        <v>2</v>
      </c>
      <c r="L137" s="31">
        <v>5</v>
      </c>
      <c r="M137" s="31">
        <v>7</v>
      </c>
      <c r="N137" s="29">
        <v>75000</v>
      </c>
      <c r="O137" s="18" t="s">
        <v>25</v>
      </c>
      <c r="P137" s="31">
        <v>7</v>
      </c>
      <c r="Q137" s="28">
        <v>7</v>
      </c>
      <c r="R137" s="31"/>
      <c r="S137" s="5">
        <f t="shared" si="17"/>
        <v>7</v>
      </c>
      <c r="T137" s="42"/>
      <c r="U137" s="18" t="s">
        <v>25</v>
      </c>
      <c r="V137" s="5">
        <f t="shared" si="18"/>
        <v>7</v>
      </c>
      <c r="W137" s="31">
        <v>5</v>
      </c>
      <c r="X137" s="43"/>
      <c r="Y137" s="5">
        <f t="shared" si="19"/>
        <v>5</v>
      </c>
      <c r="Z137" s="41"/>
      <c r="AA137" s="18" t="s">
        <v>25</v>
      </c>
      <c r="AB137" s="5">
        <f t="shared" si="20"/>
        <v>5</v>
      </c>
      <c r="AC137" s="5">
        <v>5</v>
      </c>
      <c r="AD137" s="5"/>
      <c r="AE137" s="5">
        <f t="shared" si="21"/>
        <v>5</v>
      </c>
      <c r="AF137" s="30"/>
      <c r="AG137" s="18" t="s">
        <v>25</v>
      </c>
      <c r="AH137" s="5">
        <f t="shared" si="22"/>
        <v>5</v>
      </c>
      <c r="AI137" s="5">
        <v>5</v>
      </c>
      <c r="AJ137" s="5"/>
      <c r="AK137" s="5">
        <f t="shared" si="23"/>
        <v>5</v>
      </c>
      <c r="AL137" s="5"/>
      <c r="AM137" s="45"/>
    </row>
    <row r="138" spans="1:39" x14ac:dyDescent="0.2">
      <c r="A138" s="5">
        <v>122</v>
      </c>
      <c r="B138" s="9" t="s">
        <v>206</v>
      </c>
      <c r="C138" s="18" t="s">
        <v>25</v>
      </c>
      <c r="D138" s="19">
        <v>5</v>
      </c>
      <c r="E138" s="19"/>
      <c r="F138" s="22"/>
      <c r="G138" s="19">
        <v>5</v>
      </c>
      <c r="H138" s="16"/>
      <c r="I138" s="18" t="s">
        <v>25</v>
      </c>
      <c r="J138" s="32">
        <v>5</v>
      </c>
      <c r="K138" s="31">
        <v>2</v>
      </c>
      <c r="L138" s="31">
        <v>5</v>
      </c>
      <c r="M138" s="31">
        <v>7</v>
      </c>
      <c r="N138" s="29">
        <v>75000</v>
      </c>
      <c r="O138" s="18" t="s">
        <v>25</v>
      </c>
      <c r="P138" s="31">
        <v>7</v>
      </c>
      <c r="Q138" s="28">
        <v>7</v>
      </c>
      <c r="R138" s="31"/>
      <c r="S138" s="5">
        <f t="shared" si="17"/>
        <v>7</v>
      </c>
      <c r="T138" s="42"/>
      <c r="U138" s="18" t="s">
        <v>25</v>
      </c>
      <c r="V138" s="5">
        <f t="shared" si="18"/>
        <v>7</v>
      </c>
      <c r="W138" s="31">
        <v>5</v>
      </c>
      <c r="X138" s="43"/>
      <c r="Y138" s="5">
        <f t="shared" si="19"/>
        <v>5</v>
      </c>
      <c r="Z138" s="41"/>
      <c r="AA138" s="18" t="s">
        <v>25</v>
      </c>
      <c r="AB138" s="5">
        <f t="shared" si="20"/>
        <v>5</v>
      </c>
      <c r="AC138" s="5">
        <v>5</v>
      </c>
      <c r="AD138" s="5"/>
      <c r="AE138" s="5">
        <f t="shared" si="21"/>
        <v>5</v>
      </c>
      <c r="AF138" s="30"/>
      <c r="AG138" s="18" t="s">
        <v>25</v>
      </c>
      <c r="AH138" s="5">
        <f t="shared" si="22"/>
        <v>5</v>
      </c>
      <c r="AI138" s="5">
        <v>5</v>
      </c>
      <c r="AJ138" s="5"/>
      <c r="AK138" s="5">
        <f t="shared" si="23"/>
        <v>5</v>
      </c>
      <c r="AL138" s="5"/>
      <c r="AM138" s="45"/>
    </row>
    <row r="139" spans="1:39" x14ac:dyDescent="0.2">
      <c r="A139" s="5">
        <v>123</v>
      </c>
      <c r="B139" s="9" t="s">
        <v>207</v>
      </c>
      <c r="C139" s="18" t="s">
        <v>25</v>
      </c>
      <c r="D139" s="18">
        <v>10</v>
      </c>
      <c r="E139" s="18"/>
      <c r="F139" s="24"/>
      <c r="G139" s="18">
        <v>10</v>
      </c>
      <c r="H139" s="13"/>
      <c r="I139" s="18" t="s">
        <v>25</v>
      </c>
      <c r="J139" s="5">
        <v>10</v>
      </c>
      <c r="K139" s="5">
        <v>3</v>
      </c>
      <c r="L139" s="5">
        <v>5</v>
      </c>
      <c r="M139" s="5">
        <v>8</v>
      </c>
      <c r="N139" s="29">
        <v>75000</v>
      </c>
      <c r="O139" s="18" t="s">
        <v>25</v>
      </c>
      <c r="P139" s="5">
        <v>8</v>
      </c>
      <c r="Q139" s="18">
        <v>8</v>
      </c>
      <c r="R139" s="5"/>
      <c r="S139" s="5">
        <f t="shared" si="17"/>
        <v>8</v>
      </c>
      <c r="T139" s="41"/>
      <c r="U139" s="18" t="s">
        <v>25</v>
      </c>
      <c r="V139" s="5">
        <f t="shared" si="18"/>
        <v>8</v>
      </c>
      <c r="W139" s="5">
        <v>8</v>
      </c>
      <c r="X139" s="5"/>
      <c r="Y139" s="5">
        <f t="shared" si="19"/>
        <v>8</v>
      </c>
      <c r="Z139" s="41"/>
      <c r="AA139" s="18" t="s">
        <v>25</v>
      </c>
      <c r="AB139" s="5">
        <f t="shared" si="20"/>
        <v>8</v>
      </c>
      <c r="AC139" s="5">
        <v>8</v>
      </c>
      <c r="AD139" s="5"/>
      <c r="AE139" s="5">
        <f t="shared" si="21"/>
        <v>8</v>
      </c>
      <c r="AF139" s="30"/>
      <c r="AG139" s="18" t="s">
        <v>25</v>
      </c>
      <c r="AH139" s="5">
        <f t="shared" si="22"/>
        <v>8</v>
      </c>
      <c r="AI139" s="5">
        <v>8</v>
      </c>
      <c r="AJ139" s="5"/>
      <c r="AK139" s="5">
        <f t="shared" si="23"/>
        <v>8</v>
      </c>
      <c r="AL139" s="5"/>
      <c r="AM139" s="45"/>
    </row>
    <row r="140" spans="1:39" x14ac:dyDescent="0.2">
      <c r="A140" s="5">
        <v>124</v>
      </c>
      <c r="B140" s="9" t="s">
        <v>208</v>
      </c>
      <c r="C140" s="18" t="s">
        <v>25</v>
      </c>
      <c r="D140" s="18"/>
      <c r="E140" s="18"/>
      <c r="F140" s="24"/>
      <c r="G140" s="18"/>
      <c r="H140" s="13"/>
      <c r="I140" s="18" t="s">
        <v>25</v>
      </c>
      <c r="J140" s="5">
        <v>0</v>
      </c>
      <c r="K140" s="5">
        <v>0</v>
      </c>
      <c r="L140" s="5">
        <v>5</v>
      </c>
      <c r="M140" s="5">
        <v>5</v>
      </c>
      <c r="N140" s="29">
        <v>75000</v>
      </c>
      <c r="O140" s="18" t="s">
        <v>25</v>
      </c>
      <c r="P140" s="5">
        <v>5</v>
      </c>
      <c r="Q140" s="18">
        <v>5</v>
      </c>
      <c r="R140" s="5"/>
      <c r="S140" s="5">
        <f t="shared" si="17"/>
        <v>5</v>
      </c>
      <c r="T140" s="41"/>
      <c r="U140" s="18" t="s">
        <v>25</v>
      </c>
      <c r="V140" s="5">
        <f t="shared" si="18"/>
        <v>5</v>
      </c>
      <c r="W140" s="5">
        <v>5</v>
      </c>
      <c r="X140" s="5"/>
      <c r="Y140" s="5">
        <f t="shared" si="19"/>
        <v>5</v>
      </c>
      <c r="Z140" s="41"/>
      <c r="AA140" s="18" t="s">
        <v>25</v>
      </c>
      <c r="AB140" s="5">
        <f t="shared" si="20"/>
        <v>5</v>
      </c>
      <c r="AC140" s="5">
        <v>5</v>
      </c>
      <c r="AD140" s="5"/>
      <c r="AE140" s="5">
        <f t="shared" si="21"/>
        <v>5</v>
      </c>
      <c r="AF140" s="30"/>
      <c r="AG140" s="18" t="s">
        <v>25</v>
      </c>
      <c r="AH140" s="5">
        <f t="shared" si="22"/>
        <v>5</v>
      </c>
      <c r="AI140" s="5">
        <v>5</v>
      </c>
      <c r="AJ140" s="5"/>
      <c r="AK140" s="5">
        <f t="shared" si="23"/>
        <v>5</v>
      </c>
      <c r="AL140" s="5"/>
      <c r="AM140" s="45"/>
    </row>
    <row r="141" spans="1:39" x14ac:dyDescent="0.2">
      <c r="A141" s="5">
        <v>125</v>
      </c>
      <c r="B141" s="9" t="s">
        <v>209</v>
      </c>
      <c r="C141" s="18" t="s">
        <v>25</v>
      </c>
      <c r="D141" s="18"/>
      <c r="E141" s="18"/>
      <c r="F141" s="24"/>
      <c r="G141" s="18"/>
      <c r="H141" s="13"/>
      <c r="I141" s="18" t="s">
        <v>25</v>
      </c>
      <c r="J141" s="5">
        <v>0</v>
      </c>
      <c r="K141" s="5">
        <v>0</v>
      </c>
      <c r="L141" s="5">
        <v>5</v>
      </c>
      <c r="M141" s="5">
        <v>5</v>
      </c>
      <c r="N141" s="29">
        <v>75000</v>
      </c>
      <c r="O141" s="18" t="s">
        <v>25</v>
      </c>
      <c r="P141" s="5">
        <v>5</v>
      </c>
      <c r="Q141" s="18">
        <v>5</v>
      </c>
      <c r="R141" s="5"/>
      <c r="S141" s="5">
        <f t="shared" si="17"/>
        <v>5</v>
      </c>
      <c r="T141" s="41"/>
      <c r="U141" s="18" t="s">
        <v>25</v>
      </c>
      <c r="V141" s="5">
        <f t="shared" si="18"/>
        <v>5</v>
      </c>
      <c r="W141" s="5">
        <v>5</v>
      </c>
      <c r="X141" s="5"/>
      <c r="Y141" s="5">
        <f t="shared" si="19"/>
        <v>5</v>
      </c>
      <c r="Z141" s="41"/>
      <c r="AA141" s="18" t="s">
        <v>25</v>
      </c>
      <c r="AB141" s="5">
        <f t="shared" si="20"/>
        <v>5</v>
      </c>
      <c r="AC141" s="5">
        <v>5</v>
      </c>
      <c r="AD141" s="5"/>
      <c r="AE141" s="5">
        <f t="shared" si="21"/>
        <v>5</v>
      </c>
      <c r="AF141" s="30"/>
      <c r="AG141" s="18" t="s">
        <v>25</v>
      </c>
      <c r="AH141" s="5">
        <f t="shared" si="22"/>
        <v>5</v>
      </c>
      <c r="AI141" s="5">
        <v>5</v>
      </c>
      <c r="AJ141" s="5"/>
      <c r="AK141" s="5">
        <f t="shared" si="23"/>
        <v>5</v>
      </c>
      <c r="AL141" s="5"/>
      <c r="AM141" s="45"/>
    </row>
    <row r="142" spans="1:39" x14ac:dyDescent="0.2">
      <c r="A142" s="5">
        <v>126</v>
      </c>
      <c r="B142" s="9" t="s">
        <v>210</v>
      </c>
      <c r="C142" s="18" t="s">
        <v>25</v>
      </c>
      <c r="D142" s="19">
        <v>1</v>
      </c>
      <c r="E142" s="19"/>
      <c r="F142" s="22"/>
      <c r="G142" s="19">
        <v>1</v>
      </c>
      <c r="H142" s="16"/>
      <c r="I142" s="18" t="s">
        <v>25</v>
      </c>
      <c r="J142" s="32">
        <v>1</v>
      </c>
      <c r="K142" s="31">
        <v>1</v>
      </c>
      <c r="L142" s="31">
        <v>1</v>
      </c>
      <c r="M142" s="31">
        <v>1</v>
      </c>
      <c r="N142" s="29"/>
      <c r="O142" s="18" t="s">
        <v>25</v>
      </c>
      <c r="P142" s="31">
        <v>1</v>
      </c>
      <c r="Q142" s="28">
        <v>1</v>
      </c>
      <c r="R142" s="31"/>
      <c r="S142" s="5">
        <f t="shared" si="17"/>
        <v>1</v>
      </c>
      <c r="T142" s="42"/>
      <c r="U142" s="18" t="s">
        <v>25</v>
      </c>
      <c r="V142" s="5">
        <f t="shared" si="18"/>
        <v>1</v>
      </c>
      <c r="W142" s="31">
        <v>0</v>
      </c>
      <c r="X142" s="43"/>
      <c r="Y142" s="5">
        <f t="shared" si="19"/>
        <v>0</v>
      </c>
      <c r="Z142" s="41"/>
      <c r="AA142" s="18" t="s">
        <v>25</v>
      </c>
      <c r="AB142" s="5">
        <f t="shared" si="20"/>
        <v>0</v>
      </c>
      <c r="AC142" s="5"/>
      <c r="AD142" s="5"/>
      <c r="AE142" s="5">
        <f t="shared" si="21"/>
        <v>0</v>
      </c>
      <c r="AF142" s="30"/>
      <c r="AG142" s="18" t="s">
        <v>25</v>
      </c>
      <c r="AH142" s="5">
        <f t="shared" si="22"/>
        <v>0</v>
      </c>
      <c r="AI142" s="5">
        <v>0</v>
      </c>
      <c r="AJ142" s="5">
        <v>100</v>
      </c>
      <c r="AK142" s="5">
        <f t="shared" si="23"/>
        <v>100</v>
      </c>
      <c r="AL142" s="5"/>
      <c r="AM142" s="45"/>
    </row>
    <row r="143" spans="1:39" x14ac:dyDescent="0.2">
      <c r="A143" s="5">
        <v>127</v>
      </c>
      <c r="B143" s="9" t="s">
        <v>211</v>
      </c>
      <c r="C143" s="18" t="s">
        <v>25</v>
      </c>
      <c r="D143" s="23" t="s">
        <v>103</v>
      </c>
      <c r="E143" s="23"/>
      <c r="F143" s="18"/>
      <c r="G143" s="23" t="s">
        <v>103</v>
      </c>
      <c r="H143" s="16"/>
      <c r="I143" s="18" t="s">
        <v>25</v>
      </c>
      <c r="J143" s="33" t="s">
        <v>103</v>
      </c>
      <c r="K143" s="34" t="s">
        <v>103</v>
      </c>
      <c r="L143" s="34" t="s">
        <v>103</v>
      </c>
      <c r="M143" s="31"/>
      <c r="N143" s="29"/>
      <c r="O143" s="18" t="s">
        <v>25</v>
      </c>
      <c r="P143" s="31"/>
      <c r="Q143" s="28"/>
      <c r="R143" s="31"/>
      <c r="S143" s="5">
        <f t="shared" si="17"/>
        <v>0</v>
      </c>
      <c r="T143" s="42"/>
      <c r="U143" s="18" t="s">
        <v>25</v>
      </c>
      <c r="V143" s="5">
        <f t="shared" si="18"/>
        <v>0</v>
      </c>
      <c r="W143" s="31">
        <v>0</v>
      </c>
      <c r="X143" s="43"/>
      <c r="Y143" s="5">
        <f t="shared" si="19"/>
        <v>0</v>
      </c>
      <c r="Z143" s="41"/>
      <c r="AA143" s="18" t="s">
        <v>25</v>
      </c>
      <c r="AB143" s="5">
        <f t="shared" si="20"/>
        <v>0</v>
      </c>
      <c r="AC143" s="5"/>
      <c r="AD143" s="5"/>
      <c r="AE143" s="5">
        <f t="shared" si="21"/>
        <v>0</v>
      </c>
      <c r="AF143" s="30"/>
      <c r="AG143" s="18" t="s">
        <v>25</v>
      </c>
      <c r="AH143" s="5">
        <f t="shared" si="22"/>
        <v>0</v>
      </c>
      <c r="AI143" s="5">
        <v>0</v>
      </c>
      <c r="AJ143" s="5"/>
      <c r="AK143" s="5">
        <f t="shared" si="23"/>
        <v>0</v>
      </c>
      <c r="AL143" s="5"/>
      <c r="AM143" s="45"/>
    </row>
    <row r="144" spans="1:39" x14ac:dyDescent="0.2">
      <c r="A144" s="5">
        <v>128</v>
      </c>
      <c r="B144" s="9" t="s">
        <v>212</v>
      </c>
      <c r="C144" s="18" t="s">
        <v>25</v>
      </c>
      <c r="D144" s="23" t="s">
        <v>103</v>
      </c>
      <c r="E144" s="23"/>
      <c r="F144" s="22"/>
      <c r="G144" s="23" t="s">
        <v>103</v>
      </c>
      <c r="H144" s="16"/>
      <c r="I144" s="18" t="s">
        <v>25</v>
      </c>
      <c r="J144" s="33" t="s">
        <v>103</v>
      </c>
      <c r="K144" s="34" t="s">
        <v>103</v>
      </c>
      <c r="L144" s="34" t="s">
        <v>103</v>
      </c>
      <c r="M144" s="31"/>
      <c r="N144" s="29"/>
      <c r="O144" s="18" t="s">
        <v>25</v>
      </c>
      <c r="P144" s="31"/>
      <c r="Q144" s="28"/>
      <c r="R144" s="31"/>
      <c r="S144" s="5">
        <f t="shared" si="17"/>
        <v>0</v>
      </c>
      <c r="T144" s="42"/>
      <c r="U144" s="18" t="s">
        <v>25</v>
      </c>
      <c r="V144" s="5">
        <f t="shared" si="18"/>
        <v>0</v>
      </c>
      <c r="W144" s="31">
        <v>0</v>
      </c>
      <c r="X144" s="43"/>
      <c r="Y144" s="5">
        <f t="shared" si="19"/>
        <v>0</v>
      </c>
      <c r="Z144" s="41"/>
      <c r="AA144" s="18" t="s">
        <v>25</v>
      </c>
      <c r="AB144" s="5">
        <f t="shared" si="20"/>
        <v>0</v>
      </c>
      <c r="AC144" s="5"/>
      <c r="AD144" s="5"/>
      <c r="AE144" s="5">
        <f t="shared" si="21"/>
        <v>0</v>
      </c>
      <c r="AF144" s="30"/>
      <c r="AG144" s="18" t="s">
        <v>25</v>
      </c>
      <c r="AH144" s="5">
        <f t="shared" si="22"/>
        <v>0</v>
      </c>
      <c r="AI144" s="5">
        <v>0</v>
      </c>
      <c r="AJ144" s="5"/>
      <c r="AK144" s="5">
        <f t="shared" si="23"/>
        <v>0</v>
      </c>
      <c r="AL144" s="5"/>
      <c r="AM144" s="45"/>
    </row>
    <row r="145" spans="1:39" x14ac:dyDescent="0.2">
      <c r="A145" s="5">
        <v>129</v>
      </c>
      <c r="B145" s="9" t="s">
        <v>213</v>
      </c>
      <c r="C145" s="18" t="s">
        <v>25</v>
      </c>
      <c r="D145" s="23" t="s">
        <v>103</v>
      </c>
      <c r="E145" s="23"/>
      <c r="F145" s="22"/>
      <c r="G145" s="23" t="s">
        <v>103</v>
      </c>
      <c r="H145" s="16"/>
      <c r="I145" s="18" t="s">
        <v>25</v>
      </c>
      <c r="J145" s="33" t="s">
        <v>103</v>
      </c>
      <c r="K145" s="34" t="s">
        <v>103</v>
      </c>
      <c r="L145" s="34" t="s">
        <v>103</v>
      </c>
      <c r="M145" s="31"/>
      <c r="N145" s="29"/>
      <c r="O145" s="18" t="s">
        <v>25</v>
      </c>
      <c r="P145" s="31"/>
      <c r="Q145" s="28"/>
      <c r="R145" s="31"/>
      <c r="S145" s="5">
        <f t="shared" si="17"/>
        <v>0</v>
      </c>
      <c r="T145" s="42"/>
      <c r="U145" s="18" t="s">
        <v>25</v>
      </c>
      <c r="V145" s="5">
        <f t="shared" si="18"/>
        <v>0</v>
      </c>
      <c r="W145" s="31">
        <v>0</v>
      </c>
      <c r="X145" s="43"/>
      <c r="Y145" s="5">
        <f t="shared" si="19"/>
        <v>0</v>
      </c>
      <c r="Z145" s="41"/>
      <c r="AA145" s="18" t="s">
        <v>25</v>
      </c>
      <c r="AB145" s="5">
        <f t="shared" si="20"/>
        <v>0</v>
      </c>
      <c r="AC145" s="5"/>
      <c r="AD145" s="5"/>
      <c r="AE145" s="5">
        <f t="shared" si="21"/>
        <v>0</v>
      </c>
      <c r="AF145" s="30"/>
      <c r="AG145" s="18" t="s">
        <v>25</v>
      </c>
      <c r="AH145" s="5">
        <f t="shared" si="22"/>
        <v>0</v>
      </c>
      <c r="AI145" s="5">
        <v>0</v>
      </c>
      <c r="AJ145" s="5"/>
      <c r="AK145" s="5">
        <f t="shared" si="23"/>
        <v>0</v>
      </c>
      <c r="AL145" s="5"/>
      <c r="AM145" s="45"/>
    </row>
    <row r="146" spans="1:39" x14ac:dyDescent="0.2">
      <c r="A146" s="5">
        <v>130</v>
      </c>
      <c r="B146" s="9" t="s">
        <v>214</v>
      </c>
      <c r="C146" s="18" t="s">
        <v>25</v>
      </c>
      <c r="D146" s="18">
        <v>1</v>
      </c>
      <c r="E146" s="18"/>
      <c r="F146" s="24"/>
      <c r="G146" s="18">
        <v>1</v>
      </c>
      <c r="H146" s="13"/>
      <c r="I146" s="18" t="s">
        <v>25</v>
      </c>
      <c r="J146" s="5">
        <v>1</v>
      </c>
      <c r="K146" s="5">
        <v>1</v>
      </c>
      <c r="L146" s="5">
        <v>1</v>
      </c>
      <c r="M146" s="5">
        <v>1</v>
      </c>
      <c r="N146" s="30"/>
      <c r="O146" s="18" t="s">
        <v>25</v>
      </c>
      <c r="P146" s="5">
        <v>1</v>
      </c>
      <c r="Q146" s="18">
        <v>1</v>
      </c>
      <c r="R146" s="5"/>
      <c r="S146" s="5">
        <f t="shared" si="17"/>
        <v>1</v>
      </c>
      <c r="T146" s="41"/>
      <c r="U146" s="18" t="s">
        <v>25</v>
      </c>
      <c r="V146" s="5">
        <f t="shared" si="18"/>
        <v>1</v>
      </c>
      <c r="W146" s="5">
        <v>0</v>
      </c>
      <c r="X146" s="5"/>
      <c r="Y146" s="5">
        <f t="shared" si="19"/>
        <v>0</v>
      </c>
      <c r="Z146" s="41"/>
      <c r="AA146" s="18" t="s">
        <v>25</v>
      </c>
      <c r="AB146" s="5">
        <f t="shared" si="20"/>
        <v>0</v>
      </c>
      <c r="AC146" s="5"/>
      <c r="AD146" s="5"/>
      <c r="AE146" s="5">
        <f t="shared" si="21"/>
        <v>0</v>
      </c>
      <c r="AF146" s="30"/>
      <c r="AG146" s="18" t="s">
        <v>25</v>
      </c>
      <c r="AH146" s="5">
        <f t="shared" si="22"/>
        <v>0</v>
      </c>
      <c r="AI146" s="5">
        <v>0</v>
      </c>
      <c r="AJ146" s="5"/>
      <c r="AK146" s="5">
        <f t="shared" si="23"/>
        <v>0</v>
      </c>
      <c r="AL146" s="5"/>
      <c r="AM146" s="45"/>
    </row>
    <row r="147" spans="1:39" x14ac:dyDescent="0.2">
      <c r="A147" s="5">
        <v>131</v>
      </c>
      <c r="B147" s="3" t="s">
        <v>133</v>
      </c>
      <c r="C147" s="3"/>
      <c r="D147" s="3"/>
      <c r="E147" s="3"/>
      <c r="F147" s="24"/>
      <c r="G147" s="24"/>
      <c r="H147" s="13"/>
      <c r="I147" s="5" t="s">
        <v>1</v>
      </c>
      <c r="J147" s="5">
        <v>0</v>
      </c>
      <c r="K147" s="5">
        <v>0</v>
      </c>
      <c r="L147" s="5">
        <v>38</v>
      </c>
      <c r="M147" s="5">
        <v>38</v>
      </c>
      <c r="N147" s="30">
        <v>504000</v>
      </c>
      <c r="O147" s="5" t="s">
        <v>1</v>
      </c>
      <c r="P147" s="5">
        <v>38</v>
      </c>
      <c r="Q147" s="18">
        <v>38</v>
      </c>
      <c r="R147" s="5"/>
      <c r="S147" s="5">
        <f t="shared" si="17"/>
        <v>38</v>
      </c>
      <c r="T147" s="41"/>
      <c r="U147" s="5" t="s">
        <v>1</v>
      </c>
      <c r="V147" s="5">
        <f t="shared" si="18"/>
        <v>38</v>
      </c>
      <c r="W147" s="5">
        <v>38</v>
      </c>
      <c r="X147" s="5"/>
      <c r="Y147" s="5">
        <f t="shared" si="19"/>
        <v>38</v>
      </c>
      <c r="Z147" s="41"/>
      <c r="AA147" s="5" t="s">
        <v>1</v>
      </c>
      <c r="AB147" s="5">
        <f t="shared" si="20"/>
        <v>38</v>
      </c>
      <c r="AC147" s="5">
        <v>38</v>
      </c>
      <c r="AD147" s="5"/>
      <c r="AE147" s="5">
        <f t="shared" si="21"/>
        <v>38</v>
      </c>
      <c r="AF147" s="30"/>
      <c r="AG147" s="5" t="s">
        <v>1</v>
      </c>
      <c r="AH147" s="5">
        <f t="shared" si="22"/>
        <v>38</v>
      </c>
      <c r="AI147" s="5">
        <v>38</v>
      </c>
      <c r="AJ147" s="5"/>
      <c r="AK147" s="5">
        <f t="shared" si="23"/>
        <v>38</v>
      </c>
      <c r="AL147" s="5"/>
      <c r="AM147" s="45"/>
    </row>
    <row r="148" spans="1:39" x14ac:dyDescent="0.2">
      <c r="A148" s="5">
        <v>132</v>
      </c>
      <c r="B148" s="3" t="s">
        <v>125</v>
      </c>
      <c r="C148" s="3"/>
      <c r="D148" s="3"/>
      <c r="E148" s="3"/>
      <c r="F148" s="24"/>
      <c r="G148" s="24"/>
      <c r="H148" s="13"/>
      <c r="I148" s="5" t="s">
        <v>1</v>
      </c>
      <c r="J148" s="5">
        <v>0</v>
      </c>
      <c r="K148" s="5">
        <v>0</v>
      </c>
      <c r="L148" s="5">
        <v>10</v>
      </c>
      <c r="M148" s="5">
        <v>10</v>
      </c>
      <c r="N148" s="30">
        <v>47000</v>
      </c>
      <c r="O148" s="5" t="s">
        <v>1</v>
      </c>
      <c r="P148" s="5">
        <v>10</v>
      </c>
      <c r="Q148" s="18">
        <v>7</v>
      </c>
      <c r="R148" s="5"/>
      <c r="S148" s="5">
        <f t="shared" si="17"/>
        <v>7</v>
      </c>
      <c r="T148" s="41"/>
      <c r="U148" s="5" t="s">
        <v>1</v>
      </c>
      <c r="V148" s="5">
        <f t="shared" si="18"/>
        <v>7</v>
      </c>
      <c r="W148" s="5">
        <v>5</v>
      </c>
      <c r="X148" s="5"/>
      <c r="Y148" s="5">
        <f t="shared" si="19"/>
        <v>5</v>
      </c>
      <c r="Z148" s="41"/>
      <c r="AA148" s="5" t="s">
        <v>1</v>
      </c>
      <c r="AB148" s="5">
        <f t="shared" si="20"/>
        <v>5</v>
      </c>
      <c r="AC148" s="5">
        <v>3</v>
      </c>
      <c r="AD148" s="5"/>
      <c r="AE148" s="5">
        <f t="shared" si="21"/>
        <v>3</v>
      </c>
      <c r="AF148" s="30"/>
      <c r="AG148" s="5" t="s">
        <v>1</v>
      </c>
      <c r="AH148" s="5">
        <f t="shared" si="22"/>
        <v>3</v>
      </c>
      <c r="AI148" s="5">
        <v>0</v>
      </c>
      <c r="AJ148" s="5"/>
      <c r="AK148" s="5">
        <f t="shared" si="23"/>
        <v>0</v>
      </c>
      <c r="AL148" s="5"/>
      <c r="AM148" s="45"/>
    </row>
    <row r="149" spans="1:39" x14ac:dyDescent="0.2">
      <c r="A149" s="5">
        <v>133</v>
      </c>
      <c r="B149" s="3" t="s">
        <v>127</v>
      </c>
      <c r="C149" s="3"/>
      <c r="D149" s="3"/>
      <c r="E149" s="3"/>
      <c r="F149" s="24"/>
      <c r="G149" s="24"/>
      <c r="H149" s="13"/>
      <c r="I149" s="5" t="s">
        <v>1</v>
      </c>
      <c r="J149" s="5">
        <v>0</v>
      </c>
      <c r="K149" s="5">
        <v>0</v>
      </c>
      <c r="L149" s="5">
        <v>5</v>
      </c>
      <c r="M149" s="5">
        <v>5</v>
      </c>
      <c r="N149" s="30">
        <v>85000</v>
      </c>
      <c r="O149" s="5" t="s">
        <v>1</v>
      </c>
      <c r="P149" s="5">
        <v>5</v>
      </c>
      <c r="Q149" s="18">
        <v>5</v>
      </c>
      <c r="R149" s="5"/>
      <c r="S149" s="5">
        <f t="shared" si="17"/>
        <v>5</v>
      </c>
      <c r="T149" s="41"/>
      <c r="U149" s="5" t="s">
        <v>1</v>
      </c>
      <c r="V149" s="5">
        <f t="shared" si="18"/>
        <v>5</v>
      </c>
      <c r="W149" s="5">
        <v>4</v>
      </c>
      <c r="X149" s="5"/>
      <c r="Y149" s="5">
        <f t="shared" si="19"/>
        <v>4</v>
      </c>
      <c r="Z149" s="41"/>
      <c r="AA149" s="5" t="s">
        <v>1</v>
      </c>
      <c r="AB149" s="5">
        <f t="shared" si="20"/>
        <v>4</v>
      </c>
      <c r="AC149" s="5">
        <v>3</v>
      </c>
      <c r="AD149" s="5"/>
      <c r="AE149" s="5">
        <f t="shared" si="21"/>
        <v>3</v>
      </c>
      <c r="AF149" s="30"/>
      <c r="AG149" s="5" t="s">
        <v>1</v>
      </c>
      <c r="AH149" s="5">
        <f t="shared" si="22"/>
        <v>3</v>
      </c>
      <c r="AI149" s="5">
        <v>3</v>
      </c>
      <c r="AJ149" s="5"/>
      <c r="AK149" s="5">
        <f t="shared" si="23"/>
        <v>3</v>
      </c>
      <c r="AL149" s="5"/>
      <c r="AM149" s="45"/>
    </row>
    <row r="150" spans="1:39" x14ac:dyDescent="0.2">
      <c r="A150" s="5">
        <v>134</v>
      </c>
      <c r="B150" s="3" t="s">
        <v>128</v>
      </c>
      <c r="C150" s="3"/>
      <c r="D150" s="3"/>
      <c r="E150" s="3"/>
      <c r="F150" s="24"/>
      <c r="G150" s="24"/>
      <c r="H150" s="13"/>
      <c r="I150" s="5" t="s">
        <v>1</v>
      </c>
      <c r="J150" s="5">
        <v>0</v>
      </c>
      <c r="K150" s="5">
        <v>0</v>
      </c>
      <c r="L150" s="5">
        <v>5</v>
      </c>
      <c r="M150" s="5">
        <v>5</v>
      </c>
      <c r="N150" s="30">
        <v>25000</v>
      </c>
      <c r="O150" s="5" t="s">
        <v>1</v>
      </c>
      <c r="P150" s="5">
        <v>5</v>
      </c>
      <c r="Q150" s="18">
        <v>4</v>
      </c>
      <c r="R150" s="5"/>
      <c r="S150" s="5">
        <f t="shared" si="17"/>
        <v>4</v>
      </c>
      <c r="T150" s="41"/>
      <c r="U150" s="5" t="s">
        <v>1</v>
      </c>
      <c r="V150" s="5">
        <f t="shared" si="18"/>
        <v>4</v>
      </c>
      <c r="W150" s="5">
        <v>3</v>
      </c>
      <c r="X150" s="5"/>
      <c r="Y150" s="5">
        <f t="shared" si="19"/>
        <v>3</v>
      </c>
      <c r="Z150" s="41"/>
      <c r="AA150" s="5" t="s">
        <v>1</v>
      </c>
      <c r="AB150" s="5">
        <f t="shared" si="20"/>
        <v>3</v>
      </c>
      <c r="AC150" s="5">
        <v>3</v>
      </c>
      <c r="AD150" s="5"/>
      <c r="AE150" s="5">
        <f t="shared" si="21"/>
        <v>3</v>
      </c>
      <c r="AF150" s="30"/>
      <c r="AG150" s="5" t="s">
        <v>1</v>
      </c>
      <c r="AH150" s="5">
        <f t="shared" si="22"/>
        <v>3</v>
      </c>
      <c r="AI150" s="5">
        <v>3</v>
      </c>
      <c r="AJ150" s="5"/>
      <c r="AK150" s="5">
        <f t="shared" si="23"/>
        <v>3</v>
      </c>
      <c r="AL150" s="5"/>
      <c r="AM150" s="45"/>
    </row>
    <row r="151" spans="1:39" x14ac:dyDescent="0.2">
      <c r="A151" s="5">
        <v>135</v>
      </c>
      <c r="B151" s="3" t="s">
        <v>129</v>
      </c>
      <c r="C151" s="3"/>
      <c r="D151" s="3"/>
      <c r="E151" s="3"/>
      <c r="F151" s="24"/>
      <c r="G151" s="24"/>
      <c r="H151" s="13"/>
      <c r="I151" s="5" t="s">
        <v>1</v>
      </c>
      <c r="J151" s="5">
        <v>0</v>
      </c>
      <c r="K151" s="5">
        <v>0</v>
      </c>
      <c r="L151" s="5">
        <v>5</v>
      </c>
      <c r="M151" s="5">
        <v>5</v>
      </c>
      <c r="N151" s="30">
        <v>25000</v>
      </c>
      <c r="O151" s="5" t="s">
        <v>1</v>
      </c>
      <c r="P151" s="5">
        <v>5</v>
      </c>
      <c r="Q151" s="18">
        <v>4</v>
      </c>
      <c r="R151" s="5"/>
      <c r="S151" s="5">
        <f t="shared" si="17"/>
        <v>4</v>
      </c>
      <c r="T151" s="41"/>
      <c r="U151" s="5" t="s">
        <v>1</v>
      </c>
      <c r="V151" s="5">
        <f t="shared" si="18"/>
        <v>4</v>
      </c>
      <c r="W151" s="5">
        <v>4</v>
      </c>
      <c r="X151" s="5"/>
      <c r="Y151" s="5">
        <f t="shared" si="19"/>
        <v>4</v>
      </c>
      <c r="Z151" s="41"/>
      <c r="AA151" s="5" t="s">
        <v>1</v>
      </c>
      <c r="AB151" s="5">
        <f t="shared" si="20"/>
        <v>4</v>
      </c>
      <c r="AC151" s="5">
        <v>4</v>
      </c>
      <c r="AD151" s="5"/>
      <c r="AE151" s="5">
        <f t="shared" si="21"/>
        <v>4</v>
      </c>
      <c r="AF151" s="30"/>
      <c r="AG151" s="5" t="s">
        <v>1</v>
      </c>
      <c r="AH151" s="5">
        <f t="shared" si="22"/>
        <v>4</v>
      </c>
      <c r="AI151" s="5">
        <v>4</v>
      </c>
      <c r="AJ151" s="5"/>
      <c r="AK151" s="5">
        <f t="shared" si="23"/>
        <v>4</v>
      </c>
      <c r="AL151" s="5"/>
      <c r="AM151" s="45"/>
    </row>
    <row r="152" spans="1:39" x14ac:dyDescent="0.2">
      <c r="A152" s="5">
        <v>136</v>
      </c>
      <c r="B152" s="3" t="s">
        <v>130</v>
      </c>
      <c r="C152" s="3"/>
      <c r="D152" s="3"/>
      <c r="E152" s="3"/>
      <c r="F152" s="24"/>
      <c r="G152" s="24"/>
      <c r="H152" s="13"/>
      <c r="I152" s="5" t="s">
        <v>1</v>
      </c>
      <c r="J152" s="5">
        <v>0</v>
      </c>
      <c r="K152" s="5">
        <v>0</v>
      </c>
      <c r="L152" s="5">
        <v>5</v>
      </c>
      <c r="M152" s="5">
        <v>5</v>
      </c>
      <c r="N152" s="30">
        <v>25000</v>
      </c>
      <c r="O152" s="5" t="s">
        <v>1</v>
      </c>
      <c r="P152" s="5">
        <v>5</v>
      </c>
      <c r="Q152" s="18">
        <v>4</v>
      </c>
      <c r="R152" s="5"/>
      <c r="S152" s="5">
        <f t="shared" si="17"/>
        <v>4</v>
      </c>
      <c r="T152" s="41"/>
      <c r="U152" s="5" t="s">
        <v>1</v>
      </c>
      <c r="V152" s="5">
        <f t="shared" si="18"/>
        <v>4</v>
      </c>
      <c r="W152" s="5">
        <v>4</v>
      </c>
      <c r="X152" s="5"/>
      <c r="Y152" s="5">
        <f t="shared" si="19"/>
        <v>4</v>
      </c>
      <c r="Z152" s="41"/>
      <c r="AA152" s="5" t="s">
        <v>1</v>
      </c>
      <c r="AB152" s="5">
        <f t="shared" si="20"/>
        <v>4</v>
      </c>
      <c r="AC152" s="5">
        <v>4</v>
      </c>
      <c r="AD152" s="5"/>
      <c r="AE152" s="5">
        <f t="shared" si="21"/>
        <v>4</v>
      </c>
      <c r="AF152" s="30"/>
      <c r="AG152" s="5" t="s">
        <v>1</v>
      </c>
      <c r="AH152" s="5">
        <f t="shared" si="22"/>
        <v>4</v>
      </c>
      <c r="AI152" s="5">
        <v>4</v>
      </c>
      <c r="AJ152" s="5"/>
      <c r="AK152" s="5">
        <f t="shared" si="23"/>
        <v>4</v>
      </c>
      <c r="AL152" s="5"/>
      <c r="AM152" s="45"/>
    </row>
    <row r="153" spans="1:39" x14ac:dyDescent="0.2">
      <c r="A153" s="5">
        <v>137</v>
      </c>
      <c r="B153" s="3" t="s">
        <v>131</v>
      </c>
      <c r="C153" s="3"/>
      <c r="D153" s="3"/>
      <c r="E153" s="3"/>
      <c r="F153" s="24"/>
      <c r="G153" s="24"/>
      <c r="H153" s="13"/>
      <c r="I153" s="5" t="s">
        <v>1</v>
      </c>
      <c r="J153" s="26">
        <v>0</v>
      </c>
      <c r="K153" s="5">
        <v>0</v>
      </c>
      <c r="L153" s="5">
        <v>1</v>
      </c>
      <c r="M153" s="5">
        <v>1</v>
      </c>
      <c r="N153" s="30">
        <v>375000</v>
      </c>
      <c r="O153" s="5" t="s">
        <v>1</v>
      </c>
      <c r="P153" s="5">
        <v>1</v>
      </c>
      <c r="Q153" s="18">
        <v>1</v>
      </c>
      <c r="R153" s="5"/>
      <c r="S153" s="5">
        <f t="shared" si="17"/>
        <v>1</v>
      </c>
      <c r="T153" s="41"/>
      <c r="U153" s="5" t="s">
        <v>1</v>
      </c>
      <c r="V153" s="5">
        <f t="shared" si="18"/>
        <v>1</v>
      </c>
      <c r="W153" s="5">
        <v>1</v>
      </c>
      <c r="X153" s="5"/>
      <c r="Y153" s="5">
        <f t="shared" si="19"/>
        <v>1</v>
      </c>
      <c r="Z153" s="41"/>
      <c r="AA153" s="5" t="s">
        <v>1</v>
      </c>
      <c r="AB153" s="5">
        <f t="shared" si="20"/>
        <v>1</v>
      </c>
      <c r="AC153" s="5">
        <v>1</v>
      </c>
      <c r="AD153" s="5"/>
      <c r="AE153" s="5">
        <f t="shared" si="21"/>
        <v>1</v>
      </c>
      <c r="AF153" s="30"/>
      <c r="AG153" s="5" t="s">
        <v>1</v>
      </c>
      <c r="AH153" s="5">
        <f t="shared" si="22"/>
        <v>1</v>
      </c>
      <c r="AI153" s="5">
        <v>1</v>
      </c>
      <c r="AJ153" s="5"/>
      <c r="AK153" s="5">
        <f t="shared" si="23"/>
        <v>1</v>
      </c>
      <c r="AL153" s="5"/>
      <c r="AM153" s="45"/>
    </row>
    <row r="154" spans="1:39" x14ac:dyDescent="0.2">
      <c r="A154" s="5">
        <v>138</v>
      </c>
      <c r="B154" s="37" t="s">
        <v>132</v>
      </c>
      <c r="C154" s="37"/>
      <c r="D154" s="37"/>
      <c r="E154" s="37"/>
      <c r="F154" s="38"/>
      <c r="G154" s="38"/>
      <c r="H154" s="39"/>
      <c r="I154" s="27" t="s">
        <v>1</v>
      </c>
      <c r="J154" s="27">
        <v>0</v>
      </c>
      <c r="K154" s="27">
        <v>0</v>
      </c>
      <c r="L154" s="27">
        <v>12</v>
      </c>
      <c r="M154" s="27">
        <v>12</v>
      </c>
      <c r="N154" s="40">
        <v>285000</v>
      </c>
      <c r="O154" s="27" t="s">
        <v>1</v>
      </c>
      <c r="P154" s="5">
        <v>12</v>
      </c>
      <c r="Q154" s="18">
        <v>6</v>
      </c>
      <c r="R154" s="5"/>
      <c r="S154" s="5">
        <f t="shared" si="17"/>
        <v>6</v>
      </c>
      <c r="T154" s="41"/>
      <c r="U154" s="5" t="s">
        <v>1</v>
      </c>
      <c r="V154" s="5">
        <f t="shared" si="18"/>
        <v>6</v>
      </c>
      <c r="W154" s="5">
        <v>6</v>
      </c>
      <c r="X154" s="5"/>
      <c r="Y154" s="5">
        <f t="shared" si="19"/>
        <v>6</v>
      </c>
      <c r="Z154" s="41"/>
      <c r="AA154" s="5" t="s">
        <v>1</v>
      </c>
      <c r="AB154" s="5">
        <f t="shared" si="20"/>
        <v>6</v>
      </c>
      <c r="AC154" s="5">
        <v>6</v>
      </c>
      <c r="AD154" s="5"/>
      <c r="AE154" s="5">
        <f t="shared" si="21"/>
        <v>6</v>
      </c>
      <c r="AF154" s="30"/>
      <c r="AG154" s="5" t="s">
        <v>1</v>
      </c>
      <c r="AH154" s="5">
        <f t="shared" si="22"/>
        <v>6</v>
      </c>
      <c r="AI154" s="5">
        <v>6</v>
      </c>
      <c r="AJ154" s="5"/>
      <c r="AK154" s="5">
        <f t="shared" si="23"/>
        <v>6</v>
      </c>
      <c r="AL154" s="5"/>
      <c r="AM154" s="45"/>
    </row>
    <row r="155" spans="1:39" x14ac:dyDescent="0.2">
      <c r="A155" s="5">
        <v>139</v>
      </c>
      <c r="B155" s="3" t="s">
        <v>110</v>
      </c>
      <c r="C155" s="3"/>
      <c r="D155" s="3"/>
      <c r="E155" s="3"/>
      <c r="F155" s="24"/>
      <c r="G155" s="24"/>
      <c r="H155" s="13"/>
      <c r="I155" s="3"/>
      <c r="J155" s="3"/>
      <c r="K155" s="3"/>
      <c r="L155" s="3"/>
      <c r="M155" s="3"/>
      <c r="N155" s="30"/>
      <c r="O155" s="5" t="s">
        <v>1</v>
      </c>
      <c r="P155" s="5">
        <v>0</v>
      </c>
      <c r="Q155" s="5">
        <v>0</v>
      </c>
      <c r="R155" s="5">
        <v>120</v>
      </c>
      <c r="S155" s="5">
        <f t="shared" si="17"/>
        <v>120</v>
      </c>
      <c r="T155" s="41">
        <v>1800000</v>
      </c>
      <c r="U155" s="5" t="s">
        <v>1</v>
      </c>
      <c r="V155" s="5">
        <f t="shared" si="18"/>
        <v>120</v>
      </c>
      <c r="W155" s="5">
        <v>113</v>
      </c>
      <c r="X155" s="5"/>
      <c r="Y155" s="5">
        <f t="shared" si="19"/>
        <v>113</v>
      </c>
      <c r="Z155" s="41"/>
      <c r="AA155" s="5" t="s">
        <v>1</v>
      </c>
      <c r="AB155" s="5">
        <f t="shared" si="20"/>
        <v>113</v>
      </c>
      <c r="AC155" s="5">
        <v>110</v>
      </c>
      <c r="AD155" s="5"/>
      <c r="AE155" s="5">
        <f t="shared" si="21"/>
        <v>110</v>
      </c>
      <c r="AF155" s="30"/>
      <c r="AG155" s="5" t="s">
        <v>1</v>
      </c>
      <c r="AH155" s="5">
        <f t="shared" si="22"/>
        <v>110</v>
      </c>
      <c r="AI155" s="5">
        <v>107</v>
      </c>
      <c r="AJ155" s="5"/>
      <c r="AK155" s="5">
        <f t="shared" si="23"/>
        <v>107</v>
      </c>
      <c r="AL155" s="5"/>
      <c r="AM155" s="45"/>
    </row>
    <row r="156" spans="1:39" x14ac:dyDescent="0.2">
      <c r="A156" s="5">
        <v>140</v>
      </c>
      <c r="B156" s="3" t="s">
        <v>135</v>
      </c>
      <c r="C156" s="3"/>
      <c r="D156" s="3"/>
      <c r="E156" s="3"/>
      <c r="F156" s="24"/>
      <c r="G156" s="24"/>
      <c r="H156" s="13"/>
      <c r="I156" s="3"/>
      <c r="J156" s="3"/>
      <c r="K156" s="3"/>
      <c r="L156" s="3"/>
      <c r="M156" s="3"/>
      <c r="N156" s="3"/>
      <c r="O156" s="5" t="s">
        <v>1</v>
      </c>
      <c r="P156" s="5">
        <v>0</v>
      </c>
      <c r="Q156" s="5">
        <v>0</v>
      </c>
      <c r="R156" s="5">
        <v>12</v>
      </c>
      <c r="S156" s="5">
        <f t="shared" si="17"/>
        <v>12</v>
      </c>
      <c r="T156" s="41">
        <v>180000</v>
      </c>
      <c r="U156" s="5" t="s">
        <v>1</v>
      </c>
      <c r="V156" s="5">
        <f t="shared" si="18"/>
        <v>12</v>
      </c>
      <c r="W156" s="5">
        <v>10</v>
      </c>
      <c r="X156" s="5"/>
      <c r="Y156" s="5">
        <f t="shared" si="19"/>
        <v>10</v>
      </c>
      <c r="Z156" s="41"/>
      <c r="AA156" s="5" t="s">
        <v>1</v>
      </c>
      <c r="AB156" s="5">
        <f t="shared" si="20"/>
        <v>10</v>
      </c>
      <c r="AC156" s="5">
        <v>10</v>
      </c>
      <c r="AD156" s="5"/>
      <c r="AE156" s="5">
        <f t="shared" si="21"/>
        <v>10</v>
      </c>
      <c r="AF156" s="30"/>
      <c r="AG156" s="5" t="s">
        <v>1</v>
      </c>
      <c r="AH156" s="5">
        <f t="shared" si="22"/>
        <v>10</v>
      </c>
      <c r="AI156" s="5">
        <v>10</v>
      </c>
      <c r="AJ156" s="5"/>
      <c r="AK156" s="5">
        <f t="shared" si="23"/>
        <v>10</v>
      </c>
      <c r="AL156" s="5"/>
      <c r="AM156" s="45"/>
    </row>
    <row r="157" spans="1:39" x14ac:dyDescent="0.2">
      <c r="A157" s="5">
        <v>141</v>
      </c>
      <c r="B157" s="3" t="s">
        <v>136</v>
      </c>
      <c r="C157" s="3"/>
      <c r="D157" s="3"/>
      <c r="E157" s="3"/>
      <c r="F157" s="24"/>
      <c r="G157" s="24"/>
      <c r="H157" s="13"/>
      <c r="I157" s="3"/>
      <c r="J157" s="3"/>
      <c r="K157" s="3"/>
      <c r="L157" s="3"/>
      <c r="M157" s="3"/>
      <c r="N157" s="3"/>
      <c r="O157" s="5" t="s">
        <v>1</v>
      </c>
      <c r="P157" s="5">
        <v>0</v>
      </c>
      <c r="Q157" s="5">
        <v>0</v>
      </c>
      <c r="R157" s="5">
        <v>60</v>
      </c>
      <c r="S157" s="5">
        <f t="shared" si="17"/>
        <v>60</v>
      </c>
      <c r="T157" s="41">
        <v>156000</v>
      </c>
      <c r="U157" s="5" t="s">
        <v>1</v>
      </c>
      <c r="V157" s="5">
        <f t="shared" si="18"/>
        <v>60</v>
      </c>
      <c r="W157" s="5">
        <v>58</v>
      </c>
      <c r="X157" s="5"/>
      <c r="Y157" s="5">
        <f t="shared" si="19"/>
        <v>58</v>
      </c>
      <c r="Z157" s="41"/>
      <c r="AA157" s="5" t="s">
        <v>1</v>
      </c>
      <c r="AB157" s="5">
        <f t="shared" si="20"/>
        <v>58</v>
      </c>
      <c r="AC157" s="5">
        <v>55</v>
      </c>
      <c r="AD157" s="5"/>
      <c r="AE157" s="5">
        <f t="shared" si="21"/>
        <v>55</v>
      </c>
      <c r="AF157" s="30"/>
      <c r="AG157" s="5" t="s">
        <v>1</v>
      </c>
      <c r="AH157" s="5">
        <f t="shared" si="22"/>
        <v>55</v>
      </c>
      <c r="AI157" s="5">
        <v>51</v>
      </c>
      <c r="AJ157" s="5"/>
      <c r="AK157" s="5">
        <f t="shared" si="23"/>
        <v>51</v>
      </c>
      <c r="AL157" s="5"/>
      <c r="AM157" s="45"/>
    </row>
    <row r="158" spans="1:39" x14ac:dyDescent="0.2">
      <c r="A158" s="5">
        <v>142</v>
      </c>
      <c r="B158" s="3" t="s">
        <v>137</v>
      </c>
      <c r="C158" s="3"/>
      <c r="D158" s="3"/>
      <c r="E158" s="3"/>
      <c r="F158" s="24"/>
      <c r="G158" s="24"/>
      <c r="H158" s="13"/>
      <c r="I158" s="3"/>
      <c r="J158" s="3"/>
      <c r="K158" s="3"/>
      <c r="L158" s="3"/>
      <c r="M158" s="3"/>
      <c r="N158" s="3"/>
      <c r="O158" s="5" t="s">
        <v>1</v>
      </c>
      <c r="P158" s="5">
        <v>0</v>
      </c>
      <c r="Q158" s="5">
        <v>0</v>
      </c>
      <c r="R158" s="5">
        <v>36</v>
      </c>
      <c r="S158" s="5">
        <f t="shared" si="17"/>
        <v>36</v>
      </c>
      <c r="T158" s="41">
        <v>54000</v>
      </c>
      <c r="U158" s="5" t="s">
        <v>1</v>
      </c>
      <c r="V158" s="5">
        <f t="shared" si="18"/>
        <v>36</v>
      </c>
      <c r="W158" s="5">
        <v>25</v>
      </c>
      <c r="X158" s="5"/>
      <c r="Y158" s="5">
        <f t="shared" si="19"/>
        <v>25</v>
      </c>
      <c r="Z158" s="41"/>
      <c r="AA158" s="5" t="s">
        <v>1</v>
      </c>
      <c r="AB158" s="5">
        <f t="shared" si="20"/>
        <v>25</v>
      </c>
      <c r="AC158" s="5">
        <v>10</v>
      </c>
      <c r="AD158" s="5">
        <v>36</v>
      </c>
      <c r="AE158" s="5">
        <f t="shared" si="21"/>
        <v>46</v>
      </c>
      <c r="AF158" s="30"/>
      <c r="AG158" s="5" t="s">
        <v>1</v>
      </c>
      <c r="AH158" s="5">
        <f t="shared" si="22"/>
        <v>46</v>
      </c>
      <c r="AI158" s="5">
        <v>40</v>
      </c>
      <c r="AJ158" s="5"/>
      <c r="AK158" s="5">
        <f t="shared" si="23"/>
        <v>40</v>
      </c>
      <c r="AL158" s="5"/>
      <c r="AM158" s="45"/>
    </row>
    <row r="159" spans="1:39" x14ac:dyDescent="0.2">
      <c r="A159" s="5">
        <v>143</v>
      </c>
      <c r="B159" s="3" t="s">
        <v>138</v>
      </c>
      <c r="C159" s="3"/>
      <c r="D159" s="3"/>
      <c r="E159" s="3"/>
      <c r="F159" s="24"/>
      <c r="G159" s="24"/>
      <c r="H159" s="13"/>
      <c r="I159" s="3"/>
      <c r="J159" s="3"/>
      <c r="K159" s="3"/>
      <c r="L159" s="3"/>
      <c r="M159" s="3"/>
      <c r="N159" s="3"/>
      <c r="O159" s="5" t="s">
        <v>1</v>
      </c>
      <c r="P159" s="5">
        <v>0</v>
      </c>
      <c r="Q159" s="5">
        <v>0</v>
      </c>
      <c r="R159" s="5">
        <v>24</v>
      </c>
      <c r="S159" s="5">
        <f t="shared" si="17"/>
        <v>24</v>
      </c>
      <c r="T159" s="41">
        <v>86400</v>
      </c>
      <c r="U159" s="5" t="s">
        <v>1</v>
      </c>
      <c r="V159" s="5">
        <f t="shared" si="18"/>
        <v>24</v>
      </c>
      <c r="W159" s="5">
        <v>20</v>
      </c>
      <c r="X159" s="5"/>
      <c r="Y159" s="5">
        <f t="shared" si="19"/>
        <v>20</v>
      </c>
      <c r="Z159" s="41"/>
      <c r="AA159" s="5" t="s">
        <v>1</v>
      </c>
      <c r="AB159" s="5">
        <f t="shared" si="20"/>
        <v>20</v>
      </c>
      <c r="AC159" s="5">
        <v>16</v>
      </c>
      <c r="AD159" s="5"/>
      <c r="AE159" s="5">
        <f t="shared" si="21"/>
        <v>16</v>
      </c>
      <c r="AF159" s="30"/>
      <c r="AG159" s="5" t="s">
        <v>1</v>
      </c>
      <c r="AH159" s="5">
        <f t="shared" si="22"/>
        <v>16</v>
      </c>
      <c r="AI159" s="5">
        <v>12</v>
      </c>
      <c r="AJ159" s="5"/>
      <c r="AK159" s="5">
        <f t="shared" si="23"/>
        <v>12</v>
      </c>
      <c r="AL159" s="5"/>
      <c r="AM159" s="45"/>
    </row>
    <row r="160" spans="1:39" x14ac:dyDescent="0.2">
      <c r="A160" s="5">
        <v>144</v>
      </c>
      <c r="B160" s="3" t="s">
        <v>139</v>
      </c>
      <c r="C160" s="3"/>
      <c r="D160" s="3"/>
      <c r="E160" s="3"/>
      <c r="F160" s="24"/>
      <c r="G160" s="24"/>
      <c r="H160" s="13"/>
      <c r="I160" s="3"/>
      <c r="J160" s="3"/>
      <c r="K160" s="3"/>
      <c r="L160" s="3"/>
      <c r="M160" s="3"/>
      <c r="N160" s="3"/>
      <c r="O160" s="5" t="s">
        <v>1</v>
      </c>
      <c r="P160" s="5">
        <v>0</v>
      </c>
      <c r="Q160" s="5">
        <v>0</v>
      </c>
      <c r="R160" s="5">
        <v>5</v>
      </c>
      <c r="S160" s="5">
        <f t="shared" si="17"/>
        <v>5</v>
      </c>
      <c r="T160" s="41">
        <v>80000</v>
      </c>
      <c r="U160" s="5" t="s">
        <v>1</v>
      </c>
      <c r="V160" s="5">
        <f t="shared" si="18"/>
        <v>5</v>
      </c>
      <c r="W160" s="5">
        <v>5</v>
      </c>
      <c r="X160" s="5"/>
      <c r="Y160" s="5">
        <f t="shared" si="19"/>
        <v>5</v>
      </c>
      <c r="Z160" s="41"/>
      <c r="AA160" s="5" t="s">
        <v>1</v>
      </c>
      <c r="AB160" s="5">
        <f t="shared" si="20"/>
        <v>5</v>
      </c>
      <c r="AC160" s="5">
        <v>5</v>
      </c>
      <c r="AD160" s="5"/>
      <c r="AE160" s="5">
        <f t="shared" si="21"/>
        <v>5</v>
      </c>
      <c r="AF160" s="30"/>
      <c r="AG160" s="5" t="s">
        <v>1</v>
      </c>
      <c r="AH160" s="5">
        <f t="shared" si="22"/>
        <v>5</v>
      </c>
      <c r="AI160" s="5">
        <v>5</v>
      </c>
      <c r="AJ160" s="5"/>
      <c r="AK160" s="5">
        <f t="shared" si="23"/>
        <v>5</v>
      </c>
      <c r="AL160" s="5"/>
      <c r="AM160" s="45"/>
    </row>
    <row r="161" spans="1:39" x14ac:dyDescent="0.2">
      <c r="A161" s="5">
        <v>145</v>
      </c>
      <c r="B161" s="3" t="s">
        <v>140</v>
      </c>
      <c r="C161" s="3"/>
      <c r="D161" s="3"/>
      <c r="E161" s="3"/>
      <c r="F161" s="24"/>
      <c r="G161" s="24"/>
      <c r="H161" s="13"/>
      <c r="I161" s="3"/>
      <c r="J161" s="3"/>
      <c r="K161" s="3"/>
      <c r="L161" s="3"/>
      <c r="M161" s="3"/>
      <c r="N161" s="3"/>
      <c r="O161" s="5" t="s">
        <v>1</v>
      </c>
      <c r="P161" s="5">
        <v>0</v>
      </c>
      <c r="Q161" s="5">
        <v>0</v>
      </c>
      <c r="R161" s="5">
        <v>3</v>
      </c>
      <c r="S161" s="5">
        <f t="shared" si="17"/>
        <v>3</v>
      </c>
      <c r="T161" s="41">
        <v>225000</v>
      </c>
      <c r="U161" s="5" t="s">
        <v>1</v>
      </c>
      <c r="V161" s="5">
        <f t="shared" si="18"/>
        <v>3</v>
      </c>
      <c r="W161" s="5">
        <v>3</v>
      </c>
      <c r="X161" s="5"/>
      <c r="Y161" s="5">
        <f t="shared" si="19"/>
        <v>3</v>
      </c>
      <c r="Z161" s="41"/>
      <c r="AA161" s="5" t="s">
        <v>1</v>
      </c>
      <c r="AB161" s="5">
        <f t="shared" si="20"/>
        <v>3</v>
      </c>
      <c r="AC161" s="5">
        <v>3</v>
      </c>
      <c r="AD161" s="5"/>
      <c r="AE161" s="5">
        <f t="shared" si="21"/>
        <v>3</v>
      </c>
      <c r="AF161" s="30"/>
      <c r="AG161" s="5" t="s">
        <v>1</v>
      </c>
      <c r="AH161" s="5">
        <f t="shared" si="22"/>
        <v>3</v>
      </c>
      <c r="AI161" s="5">
        <v>2</v>
      </c>
      <c r="AJ161" s="5"/>
      <c r="AK161" s="5">
        <f t="shared" si="23"/>
        <v>2</v>
      </c>
      <c r="AL161" s="5"/>
      <c r="AM161" s="45"/>
    </row>
    <row r="162" spans="1:39" x14ac:dyDescent="0.2">
      <c r="A162" s="5">
        <v>146</v>
      </c>
      <c r="B162" s="3" t="s">
        <v>141</v>
      </c>
      <c r="C162" s="3"/>
      <c r="D162" s="3"/>
      <c r="E162" s="3"/>
      <c r="F162" s="24"/>
      <c r="G162" s="24"/>
      <c r="H162" s="13"/>
      <c r="I162" s="3"/>
      <c r="J162" s="3"/>
      <c r="K162" s="3"/>
      <c r="L162" s="3"/>
      <c r="M162" s="3"/>
      <c r="N162" s="3"/>
      <c r="O162" s="5" t="s">
        <v>1</v>
      </c>
      <c r="P162" s="5">
        <v>0</v>
      </c>
      <c r="Q162" s="5">
        <v>0</v>
      </c>
      <c r="R162" s="5">
        <v>5</v>
      </c>
      <c r="S162" s="5">
        <f t="shared" si="17"/>
        <v>5</v>
      </c>
      <c r="T162" s="41">
        <v>345000</v>
      </c>
      <c r="U162" s="5" t="s">
        <v>1</v>
      </c>
      <c r="V162" s="5">
        <f t="shared" si="18"/>
        <v>5</v>
      </c>
      <c r="W162" s="5">
        <v>4</v>
      </c>
      <c r="X162" s="5"/>
      <c r="Y162" s="5">
        <f t="shared" si="19"/>
        <v>4</v>
      </c>
      <c r="Z162" s="41"/>
      <c r="AA162" s="5" t="s">
        <v>1</v>
      </c>
      <c r="AB162" s="5">
        <f t="shared" si="20"/>
        <v>4</v>
      </c>
      <c r="AC162" s="5">
        <v>3</v>
      </c>
      <c r="AD162" s="5"/>
      <c r="AE162" s="5">
        <f t="shared" si="21"/>
        <v>3</v>
      </c>
      <c r="AF162" s="30"/>
      <c r="AG162" s="5" t="s">
        <v>1</v>
      </c>
      <c r="AH162" s="5">
        <f t="shared" si="22"/>
        <v>3</v>
      </c>
      <c r="AI162" s="5">
        <v>3</v>
      </c>
      <c r="AJ162" s="5"/>
      <c r="AK162" s="5">
        <f t="shared" si="23"/>
        <v>3</v>
      </c>
      <c r="AL162" s="5"/>
      <c r="AM162" s="45"/>
    </row>
    <row r="163" spans="1:39" x14ac:dyDescent="0.2">
      <c r="A163" s="5">
        <v>147</v>
      </c>
      <c r="B163" s="3" t="s">
        <v>142</v>
      </c>
      <c r="C163" s="3"/>
      <c r="D163" s="3"/>
      <c r="E163" s="3"/>
      <c r="F163" s="24"/>
      <c r="G163" s="24"/>
      <c r="H163" s="13"/>
      <c r="I163" s="3"/>
      <c r="J163" s="3"/>
      <c r="K163" s="3"/>
      <c r="L163" s="3"/>
      <c r="M163" s="3"/>
      <c r="N163" s="3"/>
      <c r="O163" s="5" t="s">
        <v>144</v>
      </c>
      <c r="P163" s="5">
        <v>0</v>
      </c>
      <c r="Q163" s="5">
        <v>0</v>
      </c>
      <c r="R163" s="5">
        <v>20</v>
      </c>
      <c r="S163" s="5">
        <f t="shared" si="17"/>
        <v>20</v>
      </c>
      <c r="T163" s="41">
        <v>80000</v>
      </c>
      <c r="U163" s="5" t="s">
        <v>144</v>
      </c>
      <c r="V163" s="5">
        <f t="shared" si="18"/>
        <v>20</v>
      </c>
      <c r="W163" s="5">
        <v>18</v>
      </c>
      <c r="X163" s="5"/>
      <c r="Y163" s="5">
        <f t="shared" si="19"/>
        <v>18</v>
      </c>
      <c r="Z163" s="41"/>
      <c r="AA163" s="5" t="s">
        <v>144</v>
      </c>
      <c r="AB163" s="5">
        <f t="shared" si="20"/>
        <v>18</v>
      </c>
      <c r="AC163" s="5">
        <v>16</v>
      </c>
      <c r="AD163" s="5"/>
      <c r="AE163" s="5">
        <f t="shared" si="21"/>
        <v>16</v>
      </c>
      <c r="AF163" s="30"/>
      <c r="AG163" s="5" t="s">
        <v>144</v>
      </c>
      <c r="AH163" s="5">
        <f t="shared" si="22"/>
        <v>16</v>
      </c>
      <c r="AI163" s="5">
        <v>15</v>
      </c>
      <c r="AJ163" s="5"/>
      <c r="AK163" s="5">
        <f t="shared" si="23"/>
        <v>15</v>
      </c>
      <c r="AL163" s="5"/>
      <c r="AM163" s="45"/>
    </row>
    <row r="164" spans="1:39" x14ac:dyDescent="0.2">
      <c r="A164" s="5">
        <v>148</v>
      </c>
      <c r="B164" s="37" t="s">
        <v>143</v>
      </c>
      <c r="C164" s="37"/>
      <c r="D164" s="37"/>
      <c r="E164" s="37"/>
      <c r="F164" s="38"/>
      <c r="G164" s="38"/>
      <c r="H164" s="39"/>
      <c r="I164" s="37"/>
      <c r="J164" s="37"/>
      <c r="K164" s="37"/>
      <c r="L164" s="37"/>
      <c r="M164" s="37"/>
      <c r="N164" s="37"/>
      <c r="O164" s="27" t="s">
        <v>144</v>
      </c>
      <c r="P164" s="27">
        <v>0</v>
      </c>
      <c r="Q164" s="27">
        <v>0</v>
      </c>
      <c r="R164" s="27">
        <v>10</v>
      </c>
      <c r="S164" s="5">
        <f t="shared" si="17"/>
        <v>10</v>
      </c>
      <c r="T164" s="44">
        <v>380000</v>
      </c>
      <c r="U164" s="27" t="s">
        <v>144</v>
      </c>
      <c r="V164" s="5">
        <f t="shared" si="18"/>
        <v>10</v>
      </c>
      <c r="W164" s="27">
        <v>9</v>
      </c>
      <c r="X164" s="27"/>
      <c r="Y164" s="5">
        <f t="shared" si="19"/>
        <v>9</v>
      </c>
      <c r="Z164" s="44"/>
      <c r="AA164" s="27" t="s">
        <v>144</v>
      </c>
      <c r="AB164" s="5">
        <f t="shared" si="20"/>
        <v>9</v>
      </c>
      <c r="AC164" s="5">
        <v>8</v>
      </c>
      <c r="AD164" s="5"/>
      <c r="AE164" s="5">
        <f t="shared" si="21"/>
        <v>8</v>
      </c>
      <c r="AF164" s="30"/>
      <c r="AG164" s="27" t="s">
        <v>144</v>
      </c>
      <c r="AH164" s="5">
        <f t="shared" si="22"/>
        <v>8</v>
      </c>
      <c r="AI164" s="5">
        <v>8</v>
      </c>
      <c r="AJ164" s="5"/>
      <c r="AK164" s="5">
        <f t="shared" si="23"/>
        <v>8</v>
      </c>
      <c r="AL164" s="5"/>
      <c r="AM164" s="45"/>
    </row>
    <row r="165" spans="1:39" x14ac:dyDescent="0.2">
      <c r="A165" s="5">
        <v>149</v>
      </c>
      <c r="B165" s="3" t="s">
        <v>146</v>
      </c>
      <c r="C165" s="3"/>
      <c r="D165" s="3"/>
      <c r="E165" s="3"/>
      <c r="F165" s="24"/>
      <c r="G165" s="24"/>
      <c r="H165" s="1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5" t="s">
        <v>25</v>
      </c>
      <c r="V165" s="5"/>
      <c r="W165" s="5">
        <v>0</v>
      </c>
      <c r="X165" s="5">
        <v>12</v>
      </c>
      <c r="Y165" s="5">
        <f t="shared" si="19"/>
        <v>12</v>
      </c>
      <c r="Z165" s="41">
        <v>102000</v>
      </c>
      <c r="AA165" s="5" t="s">
        <v>25</v>
      </c>
      <c r="AB165" s="5">
        <f t="shared" si="20"/>
        <v>12</v>
      </c>
      <c r="AC165" s="5">
        <v>10</v>
      </c>
      <c r="AD165" s="5"/>
      <c r="AE165" s="5">
        <f t="shared" si="21"/>
        <v>10</v>
      </c>
      <c r="AF165" s="30"/>
      <c r="AG165" s="5" t="s">
        <v>25</v>
      </c>
      <c r="AH165" s="5">
        <f t="shared" si="22"/>
        <v>10</v>
      </c>
      <c r="AI165" s="5">
        <v>10</v>
      </c>
      <c r="AJ165" s="5"/>
      <c r="AK165" s="5">
        <f t="shared" si="23"/>
        <v>10</v>
      </c>
      <c r="AL165" s="5"/>
      <c r="AM165" s="45"/>
    </row>
    <row r="166" spans="1:39" x14ac:dyDescent="0.2">
      <c r="A166" s="5">
        <v>150</v>
      </c>
      <c r="B166" s="3" t="s">
        <v>148</v>
      </c>
      <c r="C166" s="3"/>
      <c r="D166" s="3"/>
      <c r="E166" s="3"/>
      <c r="F166" s="24"/>
      <c r="G166" s="24"/>
      <c r="H166" s="1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5" t="s">
        <v>151</v>
      </c>
      <c r="V166" s="5"/>
      <c r="W166" s="5">
        <v>0</v>
      </c>
      <c r="X166" s="5">
        <v>5</v>
      </c>
      <c r="Y166" s="5">
        <f t="shared" si="19"/>
        <v>5</v>
      </c>
      <c r="Z166" s="41">
        <v>100000</v>
      </c>
      <c r="AA166" s="5" t="s">
        <v>151</v>
      </c>
      <c r="AB166" s="5">
        <f t="shared" si="20"/>
        <v>5</v>
      </c>
      <c r="AC166" s="5">
        <v>5</v>
      </c>
      <c r="AD166" s="5"/>
      <c r="AE166" s="5">
        <f t="shared" si="21"/>
        <v>5</v>
      </c>
      <c r="AF166" s="30"/>
      <c r="AG166" s="5" t="s">
        <v>151</v>
      </c>
      <c r="AH166" s="5">
        <f t="shared" si="22"/>
        <v>5</v>
      </c>
      <c r="AI166" s="5">
        <v>5</v>
      </c>
      <c r="AJ166" s="5"/>
      <c r="AK166" s="5">
        <f t="shared" si="23"/>
        <v>5</v>
      </c>
      <c r="AL166" s="5"/>
      <c r="AM166" s="45"/>
    </row>
    <row r="167" spans="1:39" x14ac:dyDescent="0.2">
      <c r="A167" s="5">
        <v>151</v>
      </c>
      <c r="B167" s="3" t="s">
        <v>149</v>
      </c>
      <c r="C167" s="3"/>
      <c r="D167" s="3"/>
      <c r="E167" s="3"/>
      <c r="F167" s="24"/>
      <c r="G167" s="24"/>
      <c r="H167" s="1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5" t="s">
        <v>152</v>
      </c>
      <c r="V167" s="5"/>
      <c r="W167" s="5">
        <v>0</v>
      </c>
      <c r="X167" s="5">
        <v>1</v>
      </c>
      <c r="Y167" s="5">
        <f t="shared" si="19"/>
        <v>1</v>
      </c>
      <c r="Z167" s="41">
        <v>45000</v>
      </c>
      <c r="AA167" s="5" t="s">
        <v>152</v>
      </c>
      <c r="AB167" s="5">
        <f t="shared" si="20"/>
        <v>1</v>
      </c>
      <c r="AC167" s="5">
        <v>1</v>
      </c>
      <c r="AD167" s="5"/>
      <c r="AE167" s="5">
        <f t="shared" si="21"/>
        <v>1</v>
      </c>
      <c r="AF167" s="30"/>
      <c r="AG167" s="5" t="s">
        <v>152</v>
      </c>
      <c r="AH167" s="5">
        <f t="shared" si="22"/>
        <v>1</v>
      </c>
      <c r="AI167" s="5">
        <v>1</v>
      </c>
      <c r="AJ167" s="5"/>
      <c r="AK167" s="5">
        <f t="shared" si="23"/>
        <v>1</v>
      </c>
      <c r="AL167" s="5"/>
      <c r="AM167" s="45"/>
    </row>
    <row r="168" spans="1:39" x14ac:dyDescent="0.2">
      <c r="A168" s="5">
        <v>152</v>
      </c>
      <c r="B168" s="3" t="s">
        <v>150</v>
      </c>
      <c r="C168" s="3"/>
      <c r="D168" s="3"/>
      <c r="E168" s="3"/>
      <c r="F168" s="24"/>
      <c r="G168" s="24"/>
      <c r="H168" s="1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5" t="s">
        <v>1</v>
      </c>
      <c r="V168" s="5"/>
      <c r="W168" s="5">
        <v>0</v>
      </c>
      <c r="X168" s="5">
        <v>5</v>
      </c>
      <c r="Y168" s="5">
        <f t="shared" si="19"/>
        <v>5</v>
      </c>
      <c r="Z168" s="41">
        <v>40000</v>
      </c>
      <c r="AA168" s="5" t="s">
        <v>1</v>
      </c>
      <c r="AB168" s="5">
        <f t="shared" si="20"/>
        <v>5</v>
      </c>
      <c r="AC168" s="5">
        <v>3</v>
      </c>
      <c r="AD168" s="5"/>
      <c r="AE168" s="5">
        <f t="shared" si="21"/>
        <v>3</v>
      </c>
      <c r="AF168" s="30"/>
      <c r="AG168" s="5" t="s">
        <v>1</v>
      </c>
      <c r="AH168" s="5">
        <f t="shared" si="22"/>
        <v>3</v>
      </c>
      <c r="AI168" s="5">
        <v>3</v>
      </c>
      <c r="AJ168" s="5"/>
      <c r="AK168" s="5">
        <f t="shared" si="23"/>
        <v>3</v>
      </c>
      <c r="AL168" s="5"/>
      <c r="AM168" s="45"/>
    </row>
    <row r="169" spans="1:39" x14ac:dyDescent="0.2">
      <c r="A169" s="5">
        <v>153</v>
      </c>
      <c r="B169" s="3" t="s">
        <v>153</v>
      </c>
      <c r="C169" s="3"/>
      <c r="D169" s="3"/>
      <c r="E169" s="3"/>
      <c r="F169" s="24"/>
      <c r="G169" s="24"/>
      <c r="H169" s="1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5" t="s">
        <v>151</v>
      </c>
      <c r="V169" s="5"/>
      <c r="W169" s="5">
        <v>0</v>
      </c>
      <c r="X169" s="5">
        <v>5</v>
      </c>
      <c r="Y169" s="5">
        <f t="shared" si="19"/>
        <v>5</v>
      </c>
      <c r="Z169" s="41">
        <v>392500</v>
      </c>
      <c r="AA169" s="5" t="s">
        <v>151</v>
      </c>
      <c r="AB169" s="5">
        <f t="shared" si="20"/>
        <v>5</v>
      </c>
      <c r="AC169" s="5">
        <v>2</v>
      </c>
      <c r="AD169" s="5"/>
      <c r="AE169" s="5">
        <f t="shared" si="21"/>
        <v>2</v>
      </c>
      <c r="AF169" s="30"/>
      <c r="AG169" s="5" t="s">
        <v>151</v>
      </c>
      <c r="AH169" s="5">
        <f t="shared" si="22"/>
        <v>2</v>
      </c>
      <c r="AI169" s="5">
        <v>0</v>
      </c>
      <c r="AJ169" s="5"/>
      <c r="AK169" s="5">
        <f t="shared" si="23"/>
        <v>0</v>
      </c>
      <c r="AL169" s="5"/>
      <c r="AM169" s="45"/>
    </row>
    <row r="170" spans="1:39" x14ac:dyDescent="0.2">
      <c r="A170" s="5">
        <v>154</v>
      </c>
      <c r="B170" s="3" t="s">
        <v>155</v>
      </c>
      <c r="C170" s="3"/>
      <c r="D170" s="3"/>
      <c r="E170" s="3"/>
      <c r="F170" s="24"/>
      <c r="G170" s="24"/>
      <c r="H170" s="1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0"/>
      <c r="AA170" s="18" t="s">
        <v>1</v>
      </c>
      <c r="AB170" s="5">
        <f t="shared" si="20"/>
        <v>0</v>
      </c>
      <c r="AC170" s="5">
        <v>0</v>
      </c>
      <c r="AD170" s="5">
        <v>24</v>
      </c>
      <c r="AE170" s="5">
        <f t="shared" si="21"/>
        <v>24</v>
      </c>
      <c r="AF170" s="30">
        <v>170000</v>
      </c>
      <c r="AG170" s="18" t="s">
        <v>1</v>
      </c>
      <c r="AH170" s="5">
        <f t="shared" si="22"/>
        <v>24</v>
      </c>
      <c r="AI170" s="5">
        <v>20</v>
      </c>
      <c r="AJ170" s="5"/>
      <c r="AK170" s="5">
        <f t="shared" si="23"/>
        <v>20</v>
      </c>
      <c r="AL170" s="5"/>
      <c r="AM170" s="45"/>
    </row>
    <row r="171" spans="1:39" x14ac:dyDescent="0.2">
      <c r="A171" s="5">
        <v>155</v>
      </c>
      <c r="B171" s="3" t="s">
        <v>156</v>
      </c>
      <c r="C171" s="3"/>
      <c r="D171" s="3"/>
      <c r="E171" s="3"/>
      <c r="F171" s="24"/>
      <c r="G171" s="24"/>
      <c r="H171" s="1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18" t="s">
        <v>1</v>
      </c>
      <c r="AB171" s="5">
        <f t="shared" si="20"/>
        <v>0</v>
      </c>
      <c r="AC171" s="5">
        <v>0</v>
      </c>
      <c r="AD171" s="5">
        <v>5</v>
      </c>
      <c r="AE171" s="5">
        <f t="shared" si="21"/>
        <v>5</v>
      </c>
      <c r="AF171" s="30">
        <v>200000</v>
      </c>
      <c r="AG171" s="18" t="s">
        <v>1</v>
      </c>
      <c r="AH171" s="5">
        <f t="shared" si="22"/>
        <v>5</v>
      </c>
      <c r="AI171" s="5">
        <v>5</v>
      </c>
      <c r="AJ171" s="5"/>
      <c r="AK171" s="5">
        <f t="shared" si="23"/>
        <v>5</v>
      </c>
      <c r="AL171" s="5"/>
      <c r="AM171" s="45"/>
    </row>
    <row r="172" spans="1:39" x14ac:dyDescent="0.2">
      <c r="A172" s="5">
        <v>156</v>
      </c>
      <c r="B172" s="3" t="s">
        <v>157</v>
      </c>
      <c r="C172" s="3"/>
      <c r="D172" s="3"/>
      <c r="E172" s="3"/>
      <c r="F172" s="24"/>
      <c r="G172" s="24"/>
      <c r="H172" s="1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18" t="s">
        <v>1</v>
      </c>
      <c r="AB172" s="5">
        <f t="shared" si="20"/>
        <v>0</v>
      </c>
      <c r="AC172" s="5">
        <v>0</v>
      </c>
      <c r="AD172" s="5">
        <v>5</v>
      </c>
      <c r="AE172" s="5">
        <f t="shared" si="21"/>
        <v>5</v>
      </c>
      <c r="AF172" s="30">
        <v>30000</v>
      </c>
      <c r="AG172" s="18" t="s">
        <v>1</v>
      </c>
      <c r="AH172" s="5">
        <f t="shared" si="22"/>
        <v>5</v>
      </c>
      <c r="AI172" s="5">
        <v>4</v>
      </c>
      <c r="AJ172" s="5"/>
      <c r="AK172" s="5">
        <f t="shared" si="23"/>
        <v>4</v>
      </c>
      <c r="AL172" s="5"/>
      <c r="AM172" s="45">
        <v>2</v>
      </c>
    </row>
    <row r="173" spans="1:39" x14ac:dyDescent="0.2">
      <c r="A173" s="5">
        <v>157</v>
      </c>
      <c r="B173" s="3" t="s">
        <v>158</v>
      </c>
      <c r="C173" s="3"/>
      <c r="D173" s="3"/>
      <c r="E173" s="3"/>
      <c r="F173" s="24"/>
      <c r="G173" s="24"/>
      <c r="H173" s="1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18" t="s">
        <v>1</v>
      </c>
      <c r="AB173" s="5">
        <f t="shared" si="20"/>
        <v>0</v>
      </c>
      <c r="AC173" s="5">
        <v>0</v>
      </c>
      <c r="AD173" s="5">
        <v>5</v>
      </c>
      <c r="AE173" s="5">
        <f t="shared" si="21"/>
        <v>5</v>
      </c>
      <c r="AF173" s="30">
        <v>60000</v>
      </c>
      <c r="AG173" s="18" t="s">
        <v>1</v>
      </c>
      <c r="AH173" s="5">
        <f t="shared" si="22"/>
        <v>5</v>
      </c>
      <c r="AI173" s="5">
        <v>4</v>
      </c>
      <c r="AJ173" s="5"/>
      <c r="AK173" s="5">
        <f t="shared" si="23"/>
        <v>4</v>
      </c>
      <c r="AL173" s="5"/>
      <c r="AM173" s="45"/>
    </row>
    <row r="174" spans="1:39" x14ac:dyDescent="0.2">
      <c r="A174" s="5">
        <v>158</v>
      </c>
      <c r="B174" s="3" t="s">
        <v>159</v>
      </c>
      <c r="C174" s="3"/>
      <c r="D174" s="3"/>
      <c r="E174" s="3"/>
      <c r="F174" s="24"/>
      <c r="G174" s="24"/>
      <c r="H174" s="1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18" t="s">
        <v>1</v>
      </c>
      <c r="AB174" s="5">
        <f t="shared" si="20"/>
        <v>0</v>
      </c>
      <c r="AC174" s="5">
        <v>0</v>
      </c>
      <c r="AD174" s="5">
        <v>3</v>
      </c>
      <c r="AE174" s="5">
        <f t="shared" si="21"/>
        <v>3</v>
      </c>
      <c r="AF174" s="30">
        <v>42000</v>
      </c>
      <c r="AG174" s="18" t="s">
        <v>1</v>
      </c>
      <c r="AH174" s="5">
        <f t="shared" si="22"/>
        <v>3</v>
      </c>
      <c r="AI174" s="5">
        <v>2</v>
      </c>
      <c r="AJ174" s="5"/>
      <c r="AK174" s="5">
        <f t="shared" si="23"/>
        <v>2</v>
      </c>
      <c r="AL174" s="5"/>
      <c r="AM174" s="45"/>
    </row>
    <row r="175" spans="1:39" x14ac:dyDescent="0.2">
      <c r="A175" s="5">
        <v>159</v>
      </c>
      <c r="B175" s="3" t="s">
        <v>160</v>
      </c>
      <c r="C175" s="3"/>
      <c r="D175" s="3"/>
      <c r="E175" s="3"/>
      <c r="F175" s="24"/>
      <c r="G175" s="24"/>
      <c r="H175" s="1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18" t="s">
        <v>1</v>
      </c>
      <c r="AB175" s="5">
        <f t="shared" si="20"/>
        <v>0</v>
      </c>
      <c r="AC175" s="5">
        <v>0</v>
      </c>
      <c r="AD175" s="5">
        <v>3</v>
      </c>
      <c r="AE175" s="5">
        <f t="shared" si="21"/>
        <v>3</v>
      </c>
      <c r="AF175" s="30">
        <v>48000</v>
      </c>
      <c r="AG175" s="18" t="s">
        <v>1</v>
      </c>
      <c r="AH175" s="5">
        <f t="shared" si="22"/>
        <v>3</v>
      </c>
      <c r="AI175" s="5">
        <v>2</v>
      </c>
      <c r="AJ175" s="5"/>
      <c r="AK175" s="5">
        <f t="shared" si="23"/>
        <v>2</v>
      </c>
      <c r="AL175" s="5"/>
      <c r="AM175" s="45"/>
    </row>
    <row r="176" spans="1:39" x14ac:dyDescent="0.2">
      <c r="A176" s="5">
        <v>160</v>
      </c>
      <c r="B176" s="3" t="s">
        <v>161</v>
      </c>
      <c r="C176" s="3"/>
      <c r="D176" s="3"/>
      <c r="E176" s="3"/>
      <c r="F176" s="24"/>
      <c r="G176" s="24"/>
      <c r="H176" s="1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18" t="s">
        <v>1</v>
      </c>
      <c r="AB176" s="5">
        <f t="shared" si="20"/>
        <v>0</v>
      </c>
      <c r="AC176" s="5">
        <v>0</v>
      </c>
      <c r="AD176" s="5">
        <v>5</v>
      </c>
      <c r="AE176" s="5">
        <f t="shared" si="21"/>
        <v>5</v>
      </c>
      <c r="AF176" s="30">
        <v>225000</v>
      </c>
      <c r="AG176" s="18" t="s">
        <v>1</v>
      </c>
      <c r="AH176" s="5">
        <f t="shared" si="22"/>
        <v>5</v>
      </c>
      <c r="AI176" s="5">
        <v>4</v>
      </c>
      <c r="AJ176" s="5"/>
      <c r="AK176" s="5">
        <f t="shared" si="23"/>
        <v>4</v>
      </c>
      <c r="AL176" s="5"/>
      <c r="AM176" s="45"/>
    </row>
    <row r="177" spans="1:39" x14ac:dyDescent="0.2">
      <c r="A177" s="5">
        <v>161</v>
      </c>
      <c r="B177" s="3" t="s">
        <v>162</v>
      </c>
      <c r="C177" s="3"/>
      <c r="D177" s="3"/>
      <c r="E177" s="3"/>
      <c r="F177" s="24"/>
      <c r="G177" s="24"/>
      <c r="H177" s="1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18" t="s">
        <v>1</v>
      </c>
      <c r="AB177" s="5">
        <f t="shared" si="20"/>
        <v>0</v>
      </c>
      <c r="AC177" s="5">
        <v>0</v>
      </c>
      <c r="AD177" s="5">
        <v>5</v>
      </c>
      <c r="AE177" s="5">
        <f t="shared" si="21"/>
        <v>5</v>
      </c>
      <c r="AF177" s="30">
        <v>30000</v>
      </c>
      <c r="AG177" s="18" t="s">
        <v>1</v>
      </c>
      <c r="AH177" s="5">
        <f t="shared" si="22"/>
        <v>5</v>
      </c>
      <c r="AI177" s="5">
        <v>5</v>
      </c>
      <c r="AJ177" s="5"/>
      <c r="AK177" s="5">
        <f t="shared" si="23"/>
        <v>5</v>
      </c>
      <c r="AL177" s="5"/>
      <c r="AM177" s="45"/>
    </row>
    <row r="178" spans="1:39" x14ac:dyDescent="0.2">
      <c r="A178" s="5">
        <v>162</v>
      </c>
      <c r="B178" s="3" t="s">
        <v>163</v>
      </c>
      <c r="C178" s="3"/>
      <c r="D178" s="3"/>
      <c r="E178" s="3"/>
      <c r="F178" s="24"/>
      <c r="G178" s="24"/>
      <c r="H178" s="1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18" t="s">
        <v>1</v>
      </c>
      <c r="AB178" s="5">
        <f t="shared" si="20"/>
        <v>0</v>
      </c>
      <c r="AC178" s="5">
        <v>0</v>
      </c>
      <c r="AD178" s="5">
        <v>1</v>
      </c>
      <c r="AE178" s="5">
        <f t="shared" si="21"/>
        <v>1</v>
      </c>
      <c r="AF178" s="30">
        <v>1110000</v>
      </c>
      <c r="AG178" s="18" t="s">
        <v>1</v>
      </c>
      <c r="AH178" s="5">
        <f t="shared" si="22"/>
        <v>1</v>
      </c>
      <c r="AI178" s="5">
        <v>1</v>
      </c>
      <c r="AJ178" s="5"/>
      <c r="AK178" s="5">
        <f t="shared" si="23"/>
        <v>1</v>
      </c>
      <c r="AL178" s="5"/>
      <c r="AM178" s="45"/>
    </row>
    <row r="179" spans="1:39" x14ac:dyDescent="0.2">
      <c r="A179" s="5">
        <v>163</v>
      </c>
      <c r="B179" s="1" t="s">
        <v>100</v>
      </c>
      <c r="AG179" s="45" t="s">
        <v>1</v>
      </c>
      <c r="AH179" s="45"/>
      <c r="AI179" s="45"/>
      <c r="AJ179" s="45">
        <v>20</v>
      </c>
      <c r="AK179" s="5">
        <f t="shared" si="23"/>
        <v>20</v>
      </c>
      <c r="AM179" s="45"/>
    </row>
  </sheetData>
  <mergeCells count="8">
    <mergeCell ref="AG4:AL4"/>
    <mergeCell ref="O4:T4"/>
    <mergeCell ref="U4:Z4"/>
    <mergeCell ref="AA4:AF4"/>
    <mergeCell ref="A1:D1"/>
    <mergeCell ref="A2:D2"/>
    <mergeCell ref="C4:H4"/>
    <mergeCell ref="I4:N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 Barang</vt:lpstr>
      <vt:lpstr>Barang Masuk</vt:lpstr>
      <vt:lpstr>Barang Keluar</vt:lpstr>
      <vt:lpstr>Sisa Stok Barang</vt:lpstr>
      <vt:lpstr>Bantu</vt:lpstr>
      <vt:lpstr>ATK 1 tahun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Ibnu Sina Al-Khotami</dc:creator>
  <cp:keywords/>
  <dc:description/>
  <cp:lastModifiedBy>Rahmad Fadhil</cp:lastModifiedBy>
  <cp:revision/>
  <cp:lastPrinted>2026-01-06T06:45:15Z</cp:lastPrinted>
  <dcterms:created xsi:type="dcterms:W3CDTF">2019-01-17T03:00:03Z</dcterms:created>
  <dcterms:modified xsi:type="dcterms:W3CDTF">2026-09-27T09:44:59Z</dcterms:modified>
  <cp:category/>
  <cp:contentStatus/>
</cp:coreProperties>
</file>